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ang\Google Drive\ATeaching\ISMxxxx - Forecasting Rev Mgt Pricing\5-6 newsvendor\course material\"/>
    </mc:Choice>
  </mc:AlternateContent>
  <xr:revisionPtr revIDLastSave="0" documentId="13_ncr:1_{88B65A90-1DB1-4FC6-A1CB-238552165282}" xr6:coauthVersionLast="34" xr6:coauthVersionMax="34" xr10:uidLastSave="{00000000-0000-0000-0000-000000000000}"/>
  <bookViews>
    <workbookView xWindow="120" yWindow="180" windowWidth="10845" windowHeight="4875" activeTab="2" xr2:uid="{00000000-000D-0000-FFFF-FFFF00000000}"/>
  </bookViews>
  <sheets>
    <sheet name="simulate normal" sheetId="11" r:id="rId1"/>
    <sheet name="simulate normal long" sheetId="15" r:id="rId2"/>
    <sheet name="simulate profit" sheetId="14" r:id="rId3"/>
  </sheets>
  <definedNames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Lookup" localSheetId="1">#REF!</definedName>
    <definedName name="Lookup">#REF!</definedName>
    <definedName name="Pal_Workbook_GUID" hidden="1">"NRPUZ8ECBWT5R9H3M2Y9I7MT"</definedName>
    <definedName name="PalisadeReportWorkbookCreatedBy">"AtRisk"</definedName>
    <definedName name="penalty" localSheetId="1">#REF!</definedName>
    <definedName name="penalty">#REF!</definedName>
    <definedName name="penalty2" localSheetId="1">#REF!</definedName>
    <definedName name="penalty2">#REF!</definedName>
    <definedName name="penalty3" localSheetId="1">#REF!</definedName>
    <definedName name="penalty3">#REF!</definedName>
    <definedName name="profits">#REF!</definedName>
    <definedName name="Profits2" localSheetId="1">#REF!</definedName>
    <definedName name="Profits2">#REF!</definedName>
    <definedName name="qnty" localSheetId="1">#REF!</definedName>
    <definedName name="qnty">#REF!</definedName>
    <definedName name="qnty3" localSheetId="1">#REF!</definedName>
    <definedName name="qnty3">#REF!</definedName>
    <definedName name="rate" localSheetId="1">#REF!</definedName>
    <definedName name="rate">#REF!</definedName>
    <definedName name="rate2" localSheetId="1">#REF!</definedName>
    <definedName name="rate2">#REF!</definedName>
    <definedName name="rate3" localSheetId="1">#REF!</definedName>
    <definedName name="rate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</definedName>
    <definedName name="RiskNumSimulations" hidden="1">1</definedName>
    <definedName name="RiskPauseOnError" hidden="1">FALSE</definedName>
    <definedName name="RiskRealTimeResults">FALSE</definedName>
    <definedName name="RiskResultsUpdateFreq">100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StatFunctionsUpdateFreq">1</definedName>
    <definedName name="RiskUpdateDisplay" hidden="1">FALSE</definedName>
    <definedName name="RiskUpdateStatFunctions">TRUE</definedName>
    <definedName name="RiskUseDifferentSeedForEachSim" hidden="1">FALSE</definedName>
    <definedName name="RiskUseFixedSeed" hidden="1">FALSE</definedName>
    <definedName name="RiskUseMultipleCPUs" hidden="1">TRUE</definedName>
    <definedName name="rooms" localSheetId="1">#REF!</definedName>
    <definedName name="rooms">#REF!</definedName>
    <definedName name="rooms2" localSheetId="1">#REF!</definedName>
    <definedName name="rooms2">#REF!</definedName>
    <definedName name="rooms3" localSheetId="1">#REF!</definedName>
    <definedName name="rooms3">#REF!</definedName>
  </definedNames>
  <calcPr calcId="179017"/>
</workbook>
</file>

<file path=xl/calcChain.xml><?xml version="1.0" encoding="utf-8"?>
<calcChain xmlns="http://schemas.openxmlformats.org/spreadsheetml/2006/main">
  <c r="E4" i="14" l="1"/>
  <c r="E3" i="14"/>
  <c r="E5" i="14" l="1"/>
  <c r="E6" i="14"/>
  <c r="E7" i="14"/>
  <c r="E8" i="14"/>
  <c r="E9" i="14"/>
  <c r="E10" i="14"/>
  <c r="E11" i="14"/>
  <c r="E12" i="14"/>
  <c r="E13" i="14"/>
  <c r="E14" i="14"/>
  <c r="E15" i="14"/>
  <c r="E16" i="14"/>
  <c r="E17" i="14"/>
  <c r="E18" i="14"/>
  <c r="E19" i="14"/>
  <c r="E20" i="14"/>
  <c r="E21" i="14"/>
  <c r="E22" i="14"/>
  <c r="E23" i="14"/>
  <c r="E24" i="14"/>
  <c r="E25" i="14"/>
  <c r="E26" i="14"/>
  <c r="E27" i="14"/>
  <c r="E28" i="14"/>
  <c r="E29" i="14"/>
  <c r="E30" i="14"/>
  <c r="E31" i="14"/>
  <c r="E32" i="14"/>
  <c r="E33" i="14"/>
  <c r="E34" i="14"/>
  <c r="E35" i="14"/>
  <c r="E36" i="14"/>
  <c r="E37" i="14"/>
  <c r="E38" i="14"/>
  <c r="E39" i="14"/>
  <c r="E40" i="14"/>
  <c r="E41" i="14"/>
  <c r="E42" i="14"/>
  <c r="E43" i="14"/>
  <c r="E44" i="14"/>
  <c r="E45" i="14"/>
  <c r="E46" i="14"/>
  <c r="E47" i="14"/>
  <c r="E48" i="14"/>
  <c r="E49" i="14"/>
  <c r="E50" i="14"/>
  <c r="E51" i="14"/>
  <c r="E52" i="14"/>
  <c r="E53" i="14"/>
  <c r="E54" i="14"/>
  <c r="E55" i="14"/>
  <c r="E56" i="14"/>
  <c r="E57" i="14"/>
  <c r="E58" i="14"/>
  <c r="E59" i="14"/>
  <c r="E60" i="14"/>
  <c r="E61" i="14"/>
  <c r="E62" i="14"/>
  <c r="E63" i="14"/>
  <c r="E64" i="14"/>
  <c r="E65" i="14"/>
  <c r="E66" i="14"/>
  <c r="E67" i="14"/>
  <c r="E68" i="14"/>
  <c r="E69" i="14"/>
  <c r="E70" i="14"/>
  <c r="E71" i="14"/>
  <c r="E72" i="14"/>
  <c r="E73" i="14"/>
  <c r="E74" i="14"/>
  <c r="E75" i="14"/>
  <c r="E76" i="14"/>
  <c r="E77" i="14"/>
  <c r="E78" i="14"/>
  <c r="E79" i="14"/>
  <c r="E80" i="14"/>
  <c r="E81" i="14"/>
  <c r="E82" i="14"/>
  <c r="E83" i="14"/>
  <c r="E84" i="14"/>
  <c r="E85" i="14"/>
  <c r="E86" i="14"/>
  <c r="E87" i="14"/>
  <c r="E88" i="14"/>
  <c r="E89" i="14"/>
  <c r="E90" i="14"/>
  <c r="E91" i="14"/>
  <c r="E92" i="14"/>
  <c r="E93" i="14"/>
  <c r="E94" i="14"/>
  <c r="E95" i="14"/>
  <c r="E96" i="14"/>
  <c r="E97" i="14"/>
  <c r="E98" i="14"/>
  <c r="E99" i="14"/>
  <c r="E100" i="14"/>
  <c r="E101" i="14"/>
  <c r="E102" i="14"/>
  <c r="B53" i="15"/>
  <c r="B54" i="15"/>
  <c r="D54" i="15" s="1"/>
  <c r="B55" i="15"/>
  <c r="C55" i="15" s="1"/>
  <c r="B56" i="15"/>
  <c r="D56" i="15" s="1"/>
  <c r="B57" i="15"/>
  <c r="B58" i="15"/>
  <c r="D58" i="15" s="1"/>
  <c r="B59" i="15"/>
  <c r="C59" i="15" s="1"/>
  <c r="B60" i="15"/>
  <c r="D60" i="15" s="1"/>
  <c r="B61" i="15"/>
  <c r="B62" i="15"/>
  <c r="D62" i="15" s="1"/>
  <c r="B63" i="15"/>
  <c r="C63" i="15" s="1"/>
  <c r="B64" i="15"/>
  <c r="C64" i="15" s="1"/>
  <c r="B65" i="15"/>
  <c r="B66" i="15"/>
  <c r="D66" i="15" s="1"/>
  <c r="B67" i="15"/>
  <c r="C67" i="15" s="1"/>
  <c r="B68" i="15"/>
  <c r="C68" i="15" s="1"/>
  <c r="B69" i="15"/>
  <c r="B70" i="15"/>
  <c r="D70" i="15" s="1"/>
  <c r="B71" i="15"/>
  <c r="C71" i="15" s="1"/>
  <c r="B72" i="15"/>
  <c r="C72" i="15" s="1"/>
  <c r="B73" i="15"/>
  <c r="B74" i="15"/>
  <c r="D74" i="15" s="1"/>
  <c r="B75" i="15"/>
  <c r="D75" i="15" s="1"/>
  <c r="B76" i="15"/>
  <c r="C76" i="15" s="1"/>
  <c r="B77" i="15"/>
  <c r="B78" i="15"/>
  <c r="D78" i="15" s="1"/>
  <c r="B79" i="15"/>
  <c r="C79" i="15" s="1"/>
  <c r="B80" i="15"/>
  <c r="D80" i="15" s="1"/>
  <c r="B81" i="15"/>
  <c r="B82" i="15"/>
  <c r="D82" i="15" s="1"/>
  <c r="B83" i="15"/>
  <c r="C83" i="15" s="1"/>
  <c r="B84" i="15"/>
  <c r="C84" i="15" s="1"/>
  <c r="B85" i="15"/>
  <c r="B86" i="15"/>
  <c r="D86" i="15" s="1"/>
  <c r="B87" i="15"/>
  <c r="D87" i="15" s="1"/>
  <c r="B88" i="15"/>
  <c r="C88" i="15" s="1"/>
  <c r="B89" i="15"/>
  <c r="B90" i="15"/>
  <c r="D90" i="15" s="1"/>
  <c r="B91" i="15"/>
  <c r="C91" i="15" s="1"/>
  <c r="B92" i="15"/>
  <c r="C92" i="15" s="1"/>
  <c r="B93" i="15"/>
  <c r="B94" i="15"/>
  <c r="D94" i="15" s="1"/>
  <c r="B95" i="15"/>
  <c r="D95" i="15" s="1"/>
  <c r="B96" i="15"/>
  <c r="C96" i="15" s="1"/>
  <c r="B97" i="15"/>
  <c r="B98" i="15"/>
  <c r="D98" i="15" s="1"/>
  <c r="B99" i="15"/>
  <c r="C99" i="15" s="1"/>
  <c r="B100" i="15"/>
  <c r="D100" i="15" s="1"/>
  <c r="B101" i="15"/>
  <c r="B102" i="15"/>
  <c r="D102" i="15" s="1"/>
  <c r="B103" i="15"/>
  <c r="C103" i="15" s="1"/>
  <c r="B104" i="15"/>
  <c r="D104" i="15" s="1"/>
  <c r="B105" i="15"/>
  <c r="B106" i="15"/>
  <c r="D106" i="15" s="1"/>
  <c r="B107" i="15"/>
  <c r="C107" i="15" s="1"/>
  <c r="B108" i="15"/>
  <c r="C108" i="15" s="1"/>
  <c r="B109" i="15"/>
  <c r="B110" i="15"/>
  <c r="D110" i="15" s="1"/>
  <c r="B111" i="15"/>
  <c r="C111" i="15" s="1"/>
  <c r="B112" i="15"/>
  <c r="C112" i="15" s="1"/>
  <c r="B113" i="15"/>
  <c r="B114" i="15"/>
  <c r="D114" i="15" s="1"/>
  <c r="B115" i="15"/>
  <c r="D115" i="15" s="1"/>
  <c r="B116" i="15"/>
  <c r="C116" i="15" s="1"/>
  <c r="B117" i="15"/>
  <c r="B118" i="15"/>
  <c r="D118" i="15" s="1"/>
  <c r="B119" i="15"/>
  <c r="D119" i="15" s="1"/>
  <c r="B120" i="15"/>
  <c r="C120" i="15" s="1"/>
  <c r="B121" i="15"/>
  <c r="B122" i="15"/>
  <c r="D122" i="15" s="1"/>
  <c r="B123" i="15"/>
  <c r="C123" i="15" s="1"/>
  <c r="B124" i="15"/>
  <c r="D124" i="15" s="1"/>
  <c r="B125" i="15"/>
  <c r="B126" i="15"/>
  <c r="D126" i="15" s="1"/>
  <c r="B127" i="15"/>
  <c r="C127" i="15" s="1"/>
  <c r="B128" i="15"/>
  <c r="C128" i="15" s="1"/>
  <c r="B129" i="15"/>
  <c r="B130" i="15"/>
  <c r="D130" i="15" s="1"/>
  <c r="B131" i="15"/>
  <c r="C131" i="15" s="1"/>
  <c r="B132" i="15"/>
  <c r="C132" i="15" s="1"/>
  <c r="B133" i="15"/>
  <c r="B134" i="15"/>
  <c r="D134" i="15" s="1"/>
  <c r="B135" i="15"/>
  <c r="C135" i="15" s="1"/>
  <c r="B136" i="15"/>
  <c r="C136" i="15" s="1"/>
  <c r="B137" i="15"/>
  <c r="B138" i="15"/>
  <c r="D138" i="15" s="1"/>
  <c r="B139" i="15"/>
  <c r="D139" i="15" s="1"/>
  <c r="B140" i="15"/>
  <c r="C140" i="15" s="1"/>
  <c r="B141" i="15"/>
  <c r="B142" i="15"/>
  <c r="D142" i="15" s="1"/>
  <c r="B143" i="15"/>
  <c r="C143" i="15" s="1"/>
  <c r="B144" i="15"/>
  <c r="D144" i="15" s="1"/>
  <c r="B145" i="15"/>
  <c r="B146" i="15"/>
  <c r="D146" i="15" s="1"/>
  <c r="B147" i="15"/>
  <c r="C147" i="15" s="1"/>
  <c r="B148" i="15"/>
  <c r="C148" i="15" s="1"/>
  <c r="B149" i="15"/>
  <c r="B150" i="15"/>
  <c r="D150" i="15" s="1"/>
  <c r="B151" i="15"/>
  <c r="D151" i="15" s="1"/>
  <c r="B152" i="15"/>
  <c r="C152" i="15" s="1"/>
  <c r="B153" i="15"/>
  <c r="B154" i="15"/>
  <c r="D154" i="15" s="1"/>
  <c r="B155" i="15"/>
  <c r="C155" i="15" s="1"/>
  <c r="B156" i="15"/>
  <c r="D156" i="15" s="1"/>
  <c r="B157" i="15"/>
  <c r="B158" i="15"/>
  <c r="D158" i="15" s="1"/>
  <c r="B159" i="15"/>
  <c r="D159" i="15" s="1"/>
  <c r="B160" i="15"/>
  <c r="C160" i="15" s="1"/>
  <c r="B161" i="15"/>
  <c r="C161" i="15" s="1"/>
  <c r="B162" i="15"/>
  <c r="D162" i="15" s="1"/>
  <c r="B163" i="15"/>
  <c r="C163" i="15" s="1"/>
  <c r="B164" i="15"/>
  <c r="C164" i="15" s="1"/>
  <c r="B165" i="15"/>
  <c r="C165" i="15" s="1"/>
  <c r="B166" i="15"/>
  <c r="D166" i="15" s="1"/>
  <c r="B167" i="15"/>
  <c r="C167" i="15" s="1"/>
  <c r="B168" i="15"/>
  <c r="D168" i="15" s="1"/>
  <c r="B169" i="15"/>
  <c r="C169" i="15" s="1"/>
  <c r="B170" i="15"/>
  <c r="D170" i="15" s="1"/>
  <c r="B171" i="15"/>
  <c r="C171" i="15" s="1"/>
  <c r="B172" i="15"/>
  <c r="C172" i="15" s="1"/>
  <c r="B173" i="15"/>
  <c r="C173" i="15" s="1"/>
  <c r="B174" i="15"/>
  <c r="D174" i="15" s="1"/>
  <c r="B175" i="15"/>
  <c r="C175" i="15" s="1"/>
  <c r="B176" i="15"/>
  <c r="C176" i="15" s="1"/>
  <c r="B177" i="15"/>
  <c r="C177" i="15" s="1"/>
  <c r="B178" i="15"/>
  <c r="D178" i="15" s="1"/>
  <c r="B179" i="15"/>
  <c r="C179" i="15" s="1"/>
  <c r="B180" i="15"/>
  <c r="D180" i="15" s="1"/>
  <c r="B181" i="15"/>
  <c r="C181" i="15" s="1"/>
  <c r="B182" i="15"/>
  <c r="D182" i="15" s="1"/>
  <c r="B183" i="15"/>
  <c r="C183" i="15" s="1"/>
  <c r="B184" i="15"/>
  <c r="C184" i="15" s="1"/>
  <c r="B185" i="15"/>
  <c r="C185" i="15" s="1"/>
  <c r="B186" i="15"/>
  <c r="D186" i="15" s="1"/>
  <c r="B187" i="15"/>
  <c r="C187" i="15" s="1"/>
  <c r="B188" i="15"/>
  <c r="C188" i="15" s="1"/>
  <c r="B189" i="15"/>
  <c r="C189" i="15" s="1"/>
  <c r="B190" i="15"/>
  <c r="D190" i="15" s="1"/>
  <c r="B191" i="15"/>
  <c r="C191" i="15" s="1"/>
  <c r="B192" i="15"/>
  <c r="C192" i="15" s="1"/>
  <c r="B193" i="15"/>
  <c r="C193" i="15" s="1"/>
  <c r="B194" i="15"/>
  <c r="D194" i="15" s="1"/>
  <c r="B195" i="15"/>
  <c r="C195" i="15" s="1"/>
  <c r="B196" i="15"/>
  <c r="C196" i="15" s="1"/>
  <c r="B197" i="15"/>
  <c r="C197" i="15" s="1"/>
  <c r="B198" i="15"/>
  <c r="D198" i="15" s="1"/>
  <c r="B199" i="15"/>
  <c r="C199" i="15" s="1"/>
  <c r="B200" i="15"/>
  <c r="D200" i="15" s="1"/>
  <c r="B201" i="15"/>
  <c r="C201" i="15" s="1"/>
  <c r="B202" i="15"/>
  <c r="D202" i="15" s="1"/>
  <c r="B203" i="15"/>
  <c r="C203" i="15" s="1"/>
  <c r="B204" i="15"/>
  <c r="C204" i="15" s="1"/>
  <c r="B205" i="15"/>
  <c r="C205" i="15" s="1"/>
  <c r="B206" i="15"/>
  <c r="D206" i="15" s="1"/>
  <c r="B207" i="15"/>
  <c r="C207" i="15" s="1"/>
  <c r="B208" i="15"/>
  <c r="C208" i="15" s="1"/>
  <c r="B209" i="15"/>
  <c r="C209" i="15" s="1"/>
  <c r="B210" i="15"/>
  <c r="D210" i="15" s="1"/>
  <c r="B211" i="15"/>
  <c r="C211" i="15" s="1"/>
  <c r="B212" i="15"/>
  <c r="D212" i="15" s="1"/>
  <c r="B213" i="15"/>
  <c r="C213" i="15" s="1"/>
  <c r="B214" i="15"/>
  <c r="D214" i="15" s="1"/>
  <c r="B215" i="15"/>
  <c r="C215" i="15" s="1"/>
  <c r="B216" i="15"/>
  <c r="C216" i="15" s="1"/>
  <c r="B217" i="15"/>
  <c r="C217" i="15" s="1"/>
  <c r="B218" i="15"/>
  <c r="D218" i="15" s="1"/>
  <c r="B219" i="15"/>
  <c r="C219" i="15" s="1"/>
  <c r="B220" i="15"/>
  <c r="C220" i="15" s="1"/>
  <c r="B221" i="15"/>
  <c r="C221" i="15" s="1"/>
  <c r="B222" i="15"/>
  <c r="C222" i="15" s="1"/>
  <c r="B223" i="15"/>
  <c r="C223" i="15" s="1"/>
  <c r="B224" i="15"/>
  <c r="C224" i="15" s="1"/>
  <c r="B225" i="15"/>
  <c r="D225" i="15" s="1"/>
  <c r="B226" i="15"/>
  <c r="C226" i="15" s="1"/>
  <c r="B227" i="15"/>
  <c r="C227" i="15" s="1"/>
  <c r="B228" i="15"/>
  <c r="C228" i="15" s="1"/>
  <c r="B229" i="15"/>
  <c r="D229" i="15" s="1"/>
  <c r="B230" i="15"/>
  <c r="C230" i="15" s="1"/>
  <c r="B231" i="15"/>
  <c r="C231" i="15" s="1"/>
  <c r="B232" i="15"/>
  <c r="C232" i="15" s="1"/>
  <c r="B233" i="15"/>
  <c r="D233" i="15" s="1"/>
  <c r="B234" i="15"/>
  <c r="C234" i="15" s="1"/>
  <c r="B235" i="15"/>
  <c r="C235" i="15" s="1"/>
  <c r="B236" i="15"/>
  <c r="C236" i="15" s="1"/>
  <c r="B237" i="15"/>
  <c r="D237" i="15" s="1"/>
  <c r="B238" i="15"/>
  <c r="C238" i="15" s="1"/>
  <c r="B239" i="15"/>
  <c r="C239" i="15" s="1"/>
  <c r="B240" i="15"/>
  <c r="C240" i="15" s="1"/>
  <c r="B241" i="15"/>
  <c r="D241" i="15" s="1"/>
  <c r="B242" i="15"/>
  <c r="C242" i="15" s="1"/>
  <c r="B243" i="15"/>
  <c r="C243" i="15" s="1"/>
  <c r="B244" i="15"/>
  <c r="C244" i="15" s="1"/>
  <c r="B245" i="15"/>
  <c r="D245" i="15" s="1"/>
  <c r="B246" i="15"/>
  <c r="C246" i="15" s="1"/>
  <c r="B247" i="15"/>
  <c r="C247" i="15" s="1"/>
  <c r="B248" i="15"/>
  <c r="C248" i="15" s="1"/>
  <c r="B249" i="15"/>
  <c r="D249" i="15" s="1"/>
  <c r="B250" i="15"/>
  <c r="C250" i="15" s="1"/>
  <c r="B251" i="15"/>
  <c r="C251" i="15" s="1"/>
  <c r="B252" i="15"/>
  <c r="B253" i="15"/>
  <c r="D253" i="15" s="1"/>
  <c r="B254" i="15"/>
  <c r="C254" i="15" s="1"/>
  <c r="B255" i="15"/>
  <c r="C255" i="15" s="1"/>
  <c r="B256" i="15"/>
  <c r="B257" i="15"/>
  <c r="B258" i="15"/>
  <c r="C258" i="15" s="1"/>
  <c r="B259" i="15"/>
  <c r="B260" i="15"/>
  <c r="B261" i="15"/>
  <c r="B262" i="15"/>
  <c r="C262" i="15" s="1"/>
  <c r="B263" i="15"/>
  <c r="B264" i="15"/>
  <c r="B265" i="15"/>
  <c r="B266" i="15"/>
  <c r="C266" i="15" s="1"/>
  <c r="B267" i="15"/>
  <c r="B268" i="15"/>
  <c r="B269" i="15"/>
  <c r="B270" i="15"/>
  <c r="C270" i="15" s="1"/>
  <c r="B271" i="15"/>
  <c r="B272" i="15"/>
  <c r="B273" i="15"/>
  <c r="B274" i="15"/>
  <c r="C274" i="15" s="1"/>
  <c r="B275" i="15"/>
  <c r="B276" i="15"/>
  <c r="B277" i="15"/>
  <c r="B278" i="15"/>
  <c r="C278" i="15" s="1"/>
  <c r="B279" i="15"/>
  <c r="B280" i="15"/>
  <c r="C280" i="15" s="1"/>
  <c r="B281" i="15"/>
  <c r="B282" i="15"/>
  <c r="C282" i="15" s="1"/>
  <c r="B283" i="15"/>
  <c r="C283" i="15" s="1"/>
  <c r="B284" i="15"/>
  <c r="C284" i="15" s="1"/>
  <c r="B285" i="15"/>
  <c r="D285" i="15" s="1"/>
  <c r="B286" i="15"/>
  <c r="C286" i="15" s="1"/>
  <c r="B287" i="15"/>
  <c r="C287" i="15" s="1"/>
  <c r="B288" i="15"/>
  <c r="C288" i="15" s="1"/>
  <c r="B289" i="15"/>
  <c r="D289" i="15" s="1"/>
  <c r="B290" i="15"/>
  <c r="B291" i="15"/>
  <c r="C291" i="15" s="1"/>
  <c r="B292" i="15"/>
  <c r="C292" i="15" s="1"/>
  <c r="B293" i="15"/>
  <c r="D293" i="15" s="1"/>
  <c r="B294" i="15"/>
  <c r="C294" i="15" s="1"/>
  <c r="B295" i="15"/>
  <c r="C295" i="15" s="1"/>
  <c r="B296" i="15"/>
  <c r="C296" i="15" s="1"/>
  <c r="B297" i="15"/>
  <c r="D297" i="15" s="1"/>
  <c r="B298" i="15"/>
  <c r="B299" i="15"/>
  <c r="C299" i="15" s="1"/>
  <c r="B300" i="15"/>
  <c r="C300" i="15" s="1"/>
  <c r="B301" i="15"/>
  <c r="D301" i="15" s="1"/>
  <c r="B302" i="15"/>
  <c r="C302" i="15" s="1"/>
  <c r="B303" i="15"/>
  <c r="C303" i="15" s="1"/>
  <c r="B304" i="15"/>
  <c r="C304" i="15" s="1"/>
  <c r="B305" i="15"/>
  <c r="D305" i="15" s="1"/>
  <c r="B306" i="15"/>
  <c r="B307" i="15"/>
  <c r="C307" i="15" s="1"/>
  <c r="B308" i="15"/>
  <c r="C308" i="15" s="1"/>
  <c r="B309" i="15"/>
  <c r="D309" i="15" s="1"/>
  <c r="B310" i="15"/>
  <c r="C310" i="15" s="1"/>
  <c r="B311" i="15"/>
  <c r="C311" i="15" s="1"/>
  <c r="B312" i="15"/>
  <c r="C312" i="15" s="1"/>
  <c r="B313" i="15"/>
  <c r="D313" i="15" s="1"/>
  <c r="B314" i="15"/>
  <c r="B315" i="15"/>
  <c r="C315" i="15" s="1"/>
  <c r="B316" i="15"/>
  <c r="C316" i="15" s="1"/>
  <c r="B317" i="15"/>
  <c r="D317" i="15" s="1"/>
  <c r="B318" i="15"/>
  <c r="C318" i="15" s="1"/>
  <c r="B319" i="15"/>
  <c r="C319" i="15" s="1"/>
  <c r="B320" i="15"/>
  <c r="C320" i="15" s="1"/>
  <c r="B321" i="15"/>
  <c r="D321" i="15" s="1"/>
  <c r="B322" i="15"/>
  <c r="C322" i="15" s="1"/>
  <c r="B323" i="15"/>
  <c r="C323" i="15" s="1"/>
  <c r="B324" i="15"/>
  <c r="C324" i="15" s="1"/>
  <c r="B325" i="15"/>
  <c r="D325" i="15" s="1"/>
  <c r="B326" i="15"/>
  <c r="C326" i="15" s="1"/>
  <c r="B327" i="15"/>
  <c r="C327" i="15" s="1"/>
  <c r="B328" i="15"/>
  <c r="C328" i="15" s="1"/>
  <c r="B329" i="15"/>
  <c r="C329" i="15" s="1"/>
  <c r="B330" i="15"/>
  <c r="B331" i="15"/>
  <c r="C331" i="15" s="1"/>
  <c r="B332" i="15"/>
  <c r="D332" i="15" s="1"/>
  <c r="B333" i="15"/>
  <c r="C333" i="15" s="1"/>
  <c r="B334" i="15"/>
  <c r="D334" i="15" s="1"/>
  <c r="B335" i="15"/>
  <c r="C335" i="15" s="1"/>
  <c r="B336" i="15"/>
  <c r="C336" i="15" s="1"/>
  <c r="B337" i="15"/>
  <c r="C337" i="15" s="1"/>
  <c r="B338" i="15"/>
  <c r="B339" i="15"/>
  <c r="C339" i="15" s="1"/>
  <c r="B340" i="15"/>
  <c r="C340" i="15" s="1"/>
  <c r="B341" i="15"/>
  <c r="C341" i="15" s="1"/>
  <c r="B342" i="15"/>
  <c r="D342" i="15" s="1"/>
  <c r="B343" i="15"/>
  <c r="D343" i="15" s="1"/>
  <c r="B344" i="15"/>
  <c r="C344" i="15" s="1"/>
  <c r="B345" i="15"/>
  <c r="C345" i="15" s="1"/>
  <c r="B346" i="15"/>
  <c r="B347" i="15"/>
  <c r="C347" i="15" s="1"/>
  <c r="B348" i="15"/>
  <c r="D348" i="15" s="1"/>
  <c r="B349" i="15"/>
  <c r="C349" i="15" s="1"/>
  <c r="B350" i="15"/>
  <c r="D350" i="15" s="1"/>
  <c r="B351" i="15"/>
  <c r="D351" i="15" s="1"/>
  <c r="B352" i="15"/>
  <c r="C352" i="15" s="1"/>
  <c r="B353" i="15"/>
  <c r="C353" i="15" s="1"/>
  <c r="B354" i="15"/>
  <c r="B355" i="15"/>
  <c r="C355" i="15" s="1"/>
  <c r="B356" i="15"/>
  <c r="C356" i="15" s="1"/>
  <c r="B357" i="15"/>
  <c r="C357" i="15" s="1"/>
  <c r="B358" i="15"/>
  <c r="D358" i="15" s="1"/>
  <c r="B359" i="15"/>
  <c r="D359" i="15" s="1"/>
  <c r="B360" i="15"/>
  <c r="D360" i="15" s="1"/>
  <c r="B361" i="15"/>
  <c r="C361" i="15" s="1"/>
  <c r="B362" i="15"/>
  <c r="D362" i="15" s="1"/>
  <c r="B363" i="15"/>
  <c r="C363" i="15" s="1"/>
  <c r="B364" i="15"/>
  <c r="D364" i="15" s="1"/>
  <c r="B365" i="15"/>
  <c r="C365" i="15" s="1"/>
  <c r="B366" i="15"/>
  <c r="D366" i="15" s="1"/>
  <c r="B367" i="15"/>
  <c r="D367" i="15" s="1"/>
  <c r="B368" i="15"/>
  <c r="C368" i="15" s="1"/>
  <c r="B369" i="15"/>
  <c r="C369" i="15" s="1"/>
  <c r="B370" i="15"/>
  <c r="B371" i="15"/>
  <c r="C371" i="15" s="1"/>
  <c r="B372" i="15"/>
  <c r="D372" i="15" s="1"/>
  <c r="B373" i="15"/>
  <c r="C373" i="15" s="1"/>
  <c r="B374" i="15"/>
  <c r="D374" i="15" s="1"/>
  <c r="B375" i="15"/>
  <c r="D375" i="15" s="1"/>
  <c r="B376" i="15"/>
  <c r="C376" i="15" s="1"/>
  <c r="B377" i="15"/>
  <c r="C377" i="15" s="1"/>
  <c r="B378" i="15"/>
  <c r="D378" i="15" s="1"/>
  <c r="B379" i="15"/>
  <c r="C379" i="15" s="1"/>
  <c r="B380" i="15"/>
  <c r="D380" i="15" s="1"/>
  <c r="B381" i="15"/>
  <c r="C381" i="15" s="1"/>
  <c r="B382" i="15"/>
  <c r="D382" i="15" s="1"/>
  <c r="B383" i="15"/>
  <c r="C383" i="15" s="1"/>
  <c r="B384" i="15"/>
  <c r="C384" i="15" s="1"/>
  <c r="B385" i="15"/>
  <c r="C385" i="15" s="1"/>
  <c r="B386" i="15"/>
  <c r="B387" i="15"/>
  <c r="C387" i="15" s="1"/>
  <c r="B388" i="15"/>
  <c r="D388" i="15" s="1"/>
  <c r="B389" i="15"/>
  <c r="C389" i="15" s="1"/>
  <c r="B390" i="15"/>
  <c r="D390" i="15" s="1"/>
  <c r="B391" i="15"/>
  <c r="D391" i="15" s="1"/>
  <c r="B392" i="15"/>
  <c r="C392" i="15" s="1"/>
  <c r="B393" i="15"/>
  <c r="C393" i="15" s="1"/>
  <c r="B394" i="15"/>
  <c r="C394" i="15" s="1"/>
  <c r="B395" i="15"/>
  <c r="D395" i="15" s="1"/>
  <c r="B396" i="15"/>
  <c r="C396" i="15" s="1"/>
  <c r="B397" i="15"/>
  <c r="C397" i="15" s="1"/>
  <c r="B398" i="15"/>
  <c r="C398" i="15" s="1"/>
  <c r="B399" i="15"/>
  <c r="D399" i="15" s="1"/>
  <c r="B400" i="15"/>
  <c r="C400" i="15" s="1"/>
  <c r="B401" i="15"/>
  <c r="C401" i="15" s="1"/>
  <c r="B402" i="15"/>
  <c r="C402" i="15" s="1"/>
  <c r="B403" i="15"/>
  <c r="C403" i="15" s="1"/>
  <c r="B404" i="15"/>
  <c r="C404" i="15" s="1"/>
  <c r="B405" i="15"/>
  <c r="C405" i="15" s="1"/>
  <c r="B406" i="15"/>
  <c r="C406" i="15" s="1"/>
  <c r="B407" i="15"/>
  <c r="C407" i="15" s="1"/>
  <c r="B408" i="15"/>
  <c r="C408" i="15" s="1"/>
  <c r="B409" i="15"/>
  <c r="C409" i="15" s="1"/>
  <c r="B410" i="15"/>
  <c r="C410" i="15" s="1"/>
  <c r="B411" i="15"/>
  <c r="C411" i="15" s="1"/>
  <c r="B412" i="15"/>
  <c r="C412" i="15" s="1"/>
  <c r="B413" i="15"/>
  <c r="C413" i="15" s="1"/>
  <c r="B414" i="15"/>
  <c r="C414" i="15" s="1"/>
  <c r="B415" i="15"/>
  <c r="C415" i="15" s="1"/>
  <c r="B416" i="15"/>
  <c r="C416" i="15" s="1"/>
  <c r="B417" i="15"/>
  <c r="C417" i="15" s="1"/>
  <c r="B418" i="15"/>
  <c r="C418" i="15" s="1"/>
  <c r="B419" i="15"/>
  <c r="C419" i="15" s="1"/>
  <c r="B420" i="15"/>
  <c r="C420" i="15" s="1"/>
  <c r="B421" i="15"/>
  <c r="C421" i="15" s="1"/>
  <c r="B422" i="15"/>
  <c r="C422" i="15" s="1"/>
  <c r="B423" i="15"/>
  <c r="C423" i="15" s="1"/>
  <c r="B424" i="15"/>
  <c r="C424" i="15" s="1"/>
  <c r="B425" i="15"/>
  <c r="C425" i="15" s="1"/>
  <c r="B426" i="15"/>
  <c r="C426" i="15" s="1"/>
  <c r="B427" i="15"/>
  <c r="C427" i="15" s="1"/>
  <c r="B428" i="15"/>
  <c r="C428" i="15" s="1"/>
  <c r="B429" i="15"/>
  <c r="C429" i="15" s="1"/>
  <c r="B430" i="15"/>
  <c r="C430" i="15" s="1"/>
  <c r="B431" i="15"/>
  <c r="C431" i="15" s="1"/>
  <c r="B432" i="15"/>
  <c r="C432" i="15" s="1"/>
  <c r="B433" i="15"/>
  <c r="C433" i="15" s="1"/>
  <c r="B434" i="15"/>
  <c r="C434" i="15" s="1"/>
  <c r="B435" i="15"/>
  <c r="C435" i="15" s="1"/>
  <c r="B436" i="15"/>
  <c r="C436" i="15" s="1"/>
  <c r="B437" i="15"/>
  <c r="C437" i="15" s="1"/>
  <c r="B438" i="15"/>
  <c r="C438" i="15" s="1"/>
  <c r="B439" i="15"/>
  <c r="D439" i="15" s="1"/>
  <c r="B440" i="15"/>
  <c r="C440" i="15" s="1"/>
  <c r="B441" i="15"/>
  <c r="C441" i="15" s="1"/>
  <c r="B442" i="15"/>
  <c r="C442" i="15" s="1"/>
  <c r="B443" i="15"/>
  <c r="D443" i="15" s="1"/>
  <c r="B444" i="15"/>
  <c r="C444" i="15" s="1"/>
  <c r="B445" i="15"/>
  <c r="C445" i="15" s="1"/>
  <c r="B446" i="15"/>
  <c r="C446" i="15" s="1"/>
  <c r="B447" i="15"/>
  <c r="D447" i="15" s="1"/>
  <c r="B448" i="15"/>
  <c r="D448" i="15" s="1"/>
  <c r="B449" i="15"/>
  <c r="C449" i="15" s="1"/>
  <c r="B450" i="15"/>
  <c r="C450" i="15" s="1"/>
  <c r="B451" i="15"/>
  <c r="D451" i="15" s="1"/>
  <c r="B452" i="15"/>
  <c r="C452" i="15" s="1"/>
  <c r="B453" i="15"/>
  <c r="C453" i="15" s="1"/>
  <c r="B454" i="15"/>
  <c r="C454" i="15" s="1"/>
  <c r="B455" i="15"/>
  <c r="D455" i="15" s="1"/>
  <c r="B456" i="15"/>
  <c r="C456" i="15" s="1"/>
  <c r="B457" i="15"/>
  <c r="C457" i="15" s="1"/>
  <c r="B458" i="15"/>
  <c r="C458" i="15" s="1"/>
  <c r="B459" i="15"/>
  <c r="D459" i="15" s="1"/>
  <c r="B460" i="15"/>
  <c r="C460" i="15" s="1"/>
  <c r="B461" i="15"/>
  <c r="C461" i="15" s="1"/>
  <c r="B462" i="15"/>
  <c r="C462" i="15" s="1"/>
  <c r="B463" i="15"/>
  <c r="D463" i="15" s="1"/>
  <c r="B464" i="15"/>
  <c r="D464" i="15" s="1"/>
  <c r="B465" i="15"/>
  <c r="C465" i="15" s="1"/>
  <c r="B466" i="15"/>
  <c r="C466" i="15" s="1"/>
  <c r="B467" i="15"/>
  <c r="D467" i="15" s="1"/>
  <c r="B468" i="15"/>
  <c r="C468" i="15" s="1"/>
  <c r="B469" i="15"/>
  <c r="C469" i="15" s="1"/>
  <c r="B470" i="15"/>
  <c r="C470" i="15" s="1"/>
  <c r="B471" i="15"/>
  <c r="D471" i="15" s="1"/>
  <c r="B472" i="15"/>
  <c r="C472" i="15" s="1"/>
  <c r="B473" i="15"/>
  <c r="C473" i="15" s="1"/>
  <c r="B474" i="15"/>
  <c r="C474" i="15" s="1"/>
  <c r="B475" i="15"/>
  <c r="D475" i="15" s="1"/>
  <c r="B476" i="15"/>
  <c r="C476" i="15" s="1"/>
  <c r="B477" i="15"/>
  <c r="C477" i="15" s="1"/>
  <c r="B478" i="15"/>
  <c r="C478" i="15" s="1"/>
  <c r="B479" i="15"/>
  <c r="D479" i="15" s="1"/>
  <c r="B480" i="15"/>
  <c r="D480" i="15" s="1"/>
  <c r="B481" i="15"/>
  <c r="C481" i="15" s="1"/>
  <c r="B482" i="15"/>
  <c r="C482" i="15" s="1"/>
  <c r="B483" i="15"/>
  <c r="D483" i="15" s="1"/>
  <c r="B484" i="15"/>
  <c r="C484" i="15" s="1"/>
  <c r="B485" i="15"/>
  <c r="C485" i="15" s="1"/>
  <c r="B486" i="15"/>
  <c r="C486" i="15" s="1"/>
  <c r="B487" i="15"/>
  <c r="D487" i="15" s="1"/>
  <c r="B488" i="15"/>
  <c r="C488" i="15" s="1"/>
  <c r="B489" i="15"/>
  <c r="C489" i="15" s="1"/>
  <c r="B490" i="15"/>
  <c r="C490" i="15" s="1"/>
  <c r="B491" i="15"/>
  <c r="D491" i="15" s="1"/>
  <c r="B492" i="15"/>
  <c r="C492" i="15" s="1"/>
  <c r="B493" i="15"/>
  <c r="C493" i="15" s="1"/>
  <c r="B494" i="15"/>
  <c r="C494" i="15" s="1"/>
  <c r="B495" i="15"/>
  <c r="D495" i="15" s="1"/>
  <c r="B496" i="15"/>
  <c r="D496" i="15" s="1"/>
  <c r="B497" i="15"/>
  <c r="C497" i="15" s="1"/>
  <c r="B498" i="15"/>
  <c r="C498" i="15" s="1"/>
  <c r="B499" i="15"/>
  <c r="D499" i="15" s="1"/>
  <c r="B500" i="15"/>
  <c r="C500" i="15" s="1"/>
  <c r="B501" i="15"/>
  <c r="C501" i="15" s="1"/>
  <c r="B502" i="15"/>
  <c r="C502" i="15" s="1"/>
  <c r="B52" i="15"/>
  <c r="C52" i="15" s="1"/>
  <c r="B51" i="15"/>
  <c r="C51" i="15" s="1"/>
  <c r="B50" i="15"/>
  <c r="D50" i="15" s="1"/>
  <c r="B49" i="15"/>
  <c r="D49" i="15" s="1"/>
  <c r="B48" i="15"/>
  <c r="C48" i="15" s="1"/>
  <c r="B47" i="15"/>
  <c r="D47" i="15" s="1"/>
  <c r="B46" i="15"/>
  <c r="D46" i="15" s="1"/>
  <c r="B45" i="15"/>
  <c r="D45" i="15" s="1"/>
  <c r="B44" i="15"/>
  <c r="C44" i="15" s="1"/>
  <c r="B43" i="15"/>
  <c r="D43" i="15" s="1"/>
  <c r="B42" i="15"/>
  <c r="D42" i="15" s="1"/>
  <c r="B41" i="15"/>
  <c r="D41" i="15" s="1"/>
  <c r="B40" i="15"/>
  <c r="C40" i="15" s="1"/>
  <c r="B39" i="15"/>
  <c r="C39" i="15" s="1"/>
  <c r="B38" i="15"/>
  <c r="D38" i="15" s="1"/>
  <c r="B37" i="15"/>
  <c r="D37" i="15" s="1"/>
  <c r="B36" i="15"/>
  <c r="C36" i="15" s="1"/>
  <c r="B35" i="15"/>
  <c r="C35" i="15" s="1"/>
  <c r="B34" i="15"/>
  <c r="D34" i="15" s="1"/>
  <c r="B33" i="15"/>
  <c r="D33" i="15" s="1"/>
  <c r="B32" i="15"/>
  <c r="C32" i="15" s="1"/>
  <c r="B31" i="15"/>
  <c r="D31" i="15" s="1"/>
  <c r="B30" i="15"/>
  <c r="D30" i="15" s="1"/>
  <c r="B29" i="15"/>
  <c r="D29" i="15" s="1"/>
  <c r="B28" i="15"/>
  <c r="C28" i="15" s="1"/>
  <c r="B27" i="15"/>
  <c r="D27" i="15" s="1"/>
  <c r="B26" i="15"/>
  <c r="D26" i="15" s="1"/>
  <c r="B25" i="15"/>
  <c r="D25" i="15" s="1"/>
  <c r="B24" i="15"/>
  <c r="C24" i="15" s="1"/>
  <c r="B23" i="15"/>
  <c r="C23" i="15" s="1"/>
  <c r="B22" i="15"/>
  <c r="C22" i="15" s="1"/>
  <c r="B21" i="15"/>
  <c r="C21" i="15" s="1"/>
  <c r="B20" i="15"/>
  <c r="C20" i="15" s="1"/>
  <c r="B19" i="15"/>
  <c r="C19" i="15" s="1"/>
  <c r="B18" i="15"/>
  <c r="C18" i="15" s="1"/>
  <c r="B17" i="15"/>
  <c r="C17" i="15" s="1"/>
  <c r="B16" i="15"/>
  <c r="C16" i="15" s="1"/>
  <c r="B15" i="15"/>
  <c r="C15" i="15" s="1"/>
  <c r="B14" i="15"/>
  <c r="C14" i="15" s="1"/>
  <c r="B13" i="15"/>
  <c r="C13" i="15" s="1"/>
  <c r="B12" i="15"/>
  <c r="C12" i="15" s="1"/>
  <c r="B11" i="15"/>
  <c r="C11" i="15" s="1"/>
  <c r="B10" i="15"/>
  <c r="C10" i="15" s="1"/>
  <c r="B9" i="15"/>
  <c r="C9" i="15" s="1"/>
  <c r="B8" i="15"/>
  <c r="C8" i="15" s="1"/>
  <c r="B7" i="15"/>
  <c r="C7" i="15" s="1"/>
  <c r="B6" i="15"/>
  <c r="C6" i="15" s="1"/>
  <c r="B5" i="15"/>
  <c r="C5" i="15" s="1"/>
  <c r="B4" i="15"/>
  <c r="C4" i="15" s="1"/>
  <c r="B3" i="15"/>
  <c r="C3" i="15" s="1"/>
  <c r="C367" i="15" l="1"/>
  <c r="C439" i="15"/>
  <c r="D436" i="15"/>
  <c r="D404" i="15"/>
  <c r="D164" i="15"/>
  <c r="C463" i="15"/>
  <c r="D456" i="15"/>
  <c r="C350" i="15"/>
  <c r="D92" i="15"/>
  <c r="C495" i="15"/>
  <c r="C480" i="15"/>
  <c r="D287" i="15"/>
  <c r="D216" i="15"/>
  <c r="D72" i="15"/>
  <c r="C448" i="15"/>
  <c r="C388" i="15"/>
  <c r="C360" i="15"/>
  <c r="D112" i="15"/>
  <c r="D500" i="15"/>
  <c r="C471" i="15"/>
  <c r="D468" i="15"/>
  <c r="C362" i="15"/>
  <c r="D211" i="15"/>
  <c r="D208" i="15"/>
  <c r="C114" i="15"/>
  <c r="D59" i="15"/>
  <c r="C56" i="15"/>
  <c r="D412" i="15"/>
  <c r="C390" i="15"/>
  <c r="D376" i="15"/>
  <c r="D299" i="15"/>
  <c r="C180" i="15"/>
  <c r="C158" i="15"/>
  <c r="C151" i="15"/>
  <c r="D148" i="15"/>
  <c r="D127" i="15"/>
  <c r="C124" i="15"/>
  <c r="C94" i="15"/>
  <c r="D488" i="15"/>
  <c r="D307" i="15"/>
  <c r="D107" i="15"/>
  <c r="D356" i="15"/>
  <c r="C334" i="15"/>
  <c r="D323" i="15"/>
  <c r="D320" i="15"/>
  <c r="C309" i="15"/>
  <c r="D304" i="15"/>
  <c r="D143" i="15"/>
  <c r="D132" i="15"/>
  <c r="D335" i="15"/>
  <c r="D79" i="15"/>
  <c r="C496" i="15"/>
  <c r="C479" i="15"/>
  <c r="D472" i="15"/>
  <c r="C464" i="15"/>
  <c r="C447" i="15"/>
  <c r="D440" i="15"/>
  <c r="D428" i="15"/>
  <c r="D383" i="15"/>
  <c r="C372" i="15"/>
  <c r="D319" i="15"/>
  <c r="D291" i="15"/>
  <c r="C212" i="15"/>
  <c r="C159" i="15"/>
  <c r="D128" i="15"/>
  <c r="D123" i="15"/>
  <c r="C106" i="15"/>
  <c r="C95" i="15"/>
  <c r="C87" i="15"/>
  <c r="D84" i="15"/>
  <c r="D64" i="15"/>
  <c r="C487" i="15"/>
  <c r="D484" i="15"/>
  <c r="C455" i="15"/>
  <c r="D452" i="15"/>
  <c r="D420" i="15"/>
  <c r="C391" i="15"/>
  <c r="C380" i="15"/>
  <c r="C374" i="15"/>
  <c r="C366" i="15"/>
  <c r="C351" i="15"/>
  <c r="D303" i="15"/>
  <c r="C293" i="15"/>
  <c r="D288" i="15"/>
  <c r="D179" i="15"/>
  <c r="D176" i="15"/>
  <c r="C156" i="15"/>
  <c r="D147" i="15"/>
  <c r="C144" i="15"/>
  <c r="C115" i="15"/>
  <c r="C80" i="15"/>
  <c r="C60" i="15"/>
  <c r="D55" i="15"/>
  <c r="C491" i="15"/>
  <c r="C475" i="15"/>
  <c r="C459" i="15"/>
  <c r="C443" i="15"/>
  <c r="C395" i="15"/>
  <c r="C378" i="15"/>
  <c r="C358" i="15"/>
  <c r="C348" i="15"/>
  <c r="C343" i="15"/>
  <c r="D331" i="15"/>
  <c r="D328" i="15"/>
  <c r="C325" i="15"/>
  <c r="D311" i="15"/>
  <c r="C301" i="15"/>
  <c r="D296" i="15"/>
  <c r="C200" i="15"/>
  <c r="D195" i="15"/>
  <c r="D188" i="15"/>
  <c r="C139" i="15"/>
  <c r="C119" i="15"/>
  <c r="D108" i="15"/>
  <c r="C104" i="15"/>
  <c r="D99" i="15"/>
  <c r="D88" i="15"/>
  <c r="C82" i="15"/>
  <c r="C74" i="15"/>
  <c r="C62" i="15"/>
  <c r="D476" i="15"/>
  <c r="D460" i="15"/>
  <c r="D444" i="15"/>
  <c r="D432" i="15"/>
  <c r="D424" i="15"/>
  <c r="D416" i="15"/>
  <c r="D408" i="15"/>
  <c r="D400" i="15"/>
  <c r="D387" i="15"/>
  <c r="D371" i="15"/>
  <c r="D340" i="15"/>
  <c r="D315" i="15"/>
  <c r="D283" i="15"/>
  <c r="D196" i="15"/>
  <c r="D184" i="15"/>
  <c r="D136" i="15"/>
  <c r="D83" i="15"/>
  <c r="D68" i="15"/>
  <c r="D63" i="15"/>
  <c r="D492" i="15"/>
  <c r="C499" i="15"/>
  <c r="C483" i="15"/>
  <c r="C467" i="15"/>
  <c r="C451" i="15"/>
  <c r="D384" i="15"/>
  <c r="D368" i="15"/>
  <c r="C364" i="15"/>
  <c r="D347" i="15"/>
  <c r="D344" i="15"/>
  <c r="C342" i="15"/>
  <c r="C332" i="15"/>
  <c r="D322" i="15"/>
  <c r="C317" i="15"/>
  <c r="D312" i="15"/>
  <c r="D295" i="15"/>
  <c r="C285" i="15"/>
  <c r="D220" i="15"/>
  <c r="C168" i="15"/>
  <c r="D163" i="15"/>
  <c r="D152" i="15"/>
  <c r="C146" i="15"/>
  <c r="C138" i="15"/>
  <c r="C126" i="15"/>
  <c r="D103" i="15"/>
  <c r="C100" i="15"/>
  <c r="C75" i="15"/>
  <c r="D392" i="15"/>
  <c r="D354" i="15"/>
  <c r="C354" i="15"/>
  <c r="D338" i="15"/>
  <c r="C338" i="15"/>
  <c r="C290" i="15"/>
  <c r="D290" i="15"/>
  <c r="C279" i="15"/>
  <c r="D279" i="15"/>
  <c r="C275" i="15"/>
  <c r="D275" i="15"/>
  <c r="C271" i="15"/>
  <c r="D271" i="15"/>
  <c r="C267" i="15"/>
  <c r="D267" i="15"/>
  <c r="C263" i="15"/>
  <c r="D263" i="15"/>
  <c r="C259" i="15"/>
  <c r="D259" i="15"/>
  <c r="D435" i="15"/>
  <c r="D431" i="15"/>
  <c r="D427" i="15"/>
  <c r="D423" i="15"/>
  <c r="D419" i="15"/>
  <c r="D415" i="15"/>
  <c r="D411" i="15"/>
  <c r="D407" i="15"/>
  <c r="D403" i="15"/>
  <c r="C399" i="15"/>
  <c r="D396" i="15"/>
  <c r="C382" i="15"/>
  <c r="D370" i="15"/>
  <c r="C370" i="15"/>
  <c r="D363" i="15"/>
  <c r="C359" i="15"/>
  <c r="D355" i="15"/>
  <c r="C314" i="15"/>
  <c r="D314" i="15"/>
  <c r="D386" i="15"/>
  <c r="C386" i="15"/>
  <c r="D379" i="15"/>
  <c r="C375" i="15"/>
  <c r="D352" i="15"/>
  <c r="D346" i="15"/>
  <c r="C346" i="15"/>
  <c r="D339" i="15"/>
  <c r="D336" i="15"/>
  <c r="D330" i="15"/>
  <c r="C330" i="15"/>
  <c r="D327" i="15"/>
  <c r="C306" i="15"/>
  <c r="D306" i="15"/>
  <c r="D281" i="15"/>
  <c r="C281" i="15"/>
  <c r="D277" i="15"/>
  <c r="C277" i="15"/>
  <c r="D273" i="15"/>
  <c r="C273" i="15"/>
  <c r="D269" i="15"/>
  <c r="C269" i="15"/>
  <c r="D265" i="15"/>
  <c r="C265" i="15"/>
  <c r="D261" i="15"/>
  <c r="C261" i="15"/>
  <c r="D257" i="15"/>
  <c r="C257" i="15"/>
  <c r="C298" i="15"/>
  <c r="D298" i="15"/>
  <c r="D278" i="15"/>
  <c r="D274" i="15"/>
  <c r="D270" i="15"/>
  <c r="D266" i="15"/>
  <c r="D262" i="15"/>
  <c r="D258" i="15"/>
  <c r="D254" i="15"/>
  <c r="D250" i="15"/>
  <c r="D246" i="15"/>
  <c r="D242" i="15"/>
  <c r="D238" i="15"/>
  <c r="D234" i="15"/>
  <c r="D230" i="15"/>
  <c r="D226" i="15"/>
  <c r="D222" i="15"/>
  <c r="D203" i="15"/>
  <c r="D171" i="15"/>
  <c r="C154" i="15"/>
  <c r="C130" i="15"/>
  <c r="C110" i="15"/>
  <c r="C90" i="15"/>
  <c r="C66" i="15"/>
  <c r="D255" i="15"/>
  <c r="D251" i="15"/>
  <c r="D247" i="15"/>
  <c r="D243" i="15"/>
  <c r="D239" i="15"/>
  <c r="D235" i="15"/>
  <c r="D231" i="15"/>
  <c r="D227" i="15"/>
  <c r="D223" i="15"/>
  <c r="D204" i="15"/>
  <c r="D192" i="15"/>
  <c r="D172" i="15"/>
  <c r="D160" i="15"/>
  <c r="D155" i="15"/>
  <c r="D140" i="15"/>
  <c r="D135" i="15"/>
  <c r="D131" i="15"/>
  <c r="D120" i="15"/>
  <c r="D116" i="15"/>
  <c r="D111" i="15"/>
  <c r="D96" i="15"/>
  <c r="D91" i="15"/>
  <c r="D76" i="15"/>
  <c r="D71" i="15"/>
  <c r="D67" i="15"/>
  <c r="C253" i="15"/>
  <c r="C249" i="15"/>
  <c r="C245" i="15"/>
  <c r="C241" i="15"/>
  <c r="C237" i="15"/>
  <c r="C233" i="15"/>
  <c r="C229" i="15"/>
  <c r="C225" i="15"/>
  <c r="D219" i="15"/>
  <c r="D187" i="15"/>
  <c r="C142" i="15"/>
  <c r="C122" i="15"/>
  <c r="C98" i="15"/>
  <c r="C78" i="15"/>
  <c r="C276" i="15"/>
  <c r="D276" i="15"/>
  <c r="C272" i="15"/>
  <c r="D272" i="15"/>
  <c r="C268" i="15"/>
  <c r="D268" i="15"/>
  <c r="C264" i="15"/>
  <c r="D264" i="15"/>
  <c r="C260" i="15"/>
  <c r="D260" i="15"/>
  <c r="C256" i="15"/>
  <c r="D256" i="15"/>
  <c r="C252" i="15"/>
  <c r="D252" i="15"/>
  <c r="D501" i="15"/>
  <c r="D493" i="15"/>
  <c r="D485" i="15"/>
  <c r="D481" i="15"/>
  <c r="D469" i="15"/>
  <c r="D465" i="15"/>
  <c r="D461" i="15"/>
  <c r="D457" i="15"/>
  <c r="D453" i="15"/>
  <c r="D449" i="15"/>
  <c r="D445" i="15"/>
  <c r="D441" i="15"/>
  <c r="D437" i="15"/>
  <c r="D433" i="15"/>
  <c r="D429" i="15"/>
  <c r="D425" i="15"/>
  <c r="D421" i="15"/>
  <c r="D417" i="15"/>
  <c r="D413" i="15"/>
  <c r="D409" i="15"/>
  <c r="D405" i="15"/>
  <c r="D401" i="15"/>
  <c r="D397" i="15"/>
  <c r="D393" i="15"/>
  <c r="D389" i="15"/>
  <c r="D385" i="15"/>
  <c r="D381" i="15"/>
  <c r="D377" i="15"/>
  <c r="D373" i="15"/>
  <c r="D369" i="15"/>
  <c r="D365" i="15"/>
  <c r="D361" i="15"/>
  <c r="D357" i="15"/>
  <c r="D353" i="15"/>
  <c r="D349" i="15"/>
  <c r="D345" i="15"/>
  <c r="D341" i="15"/>
  <c r="D337" i="15"/>
  <c r="D333" i="15"/>
  <c r="D329" i="15"/>
  <c r="D326" i="15"/>
  <c r="D318" i="15"/>
  <c r="D310" i="15"/>
  <c r="D302" i="15"/>
  <c r="D294" i="15"/>
  <c r="D286" i="15"/>
  <c r="D497" i="15"/>
  <c r="D489" i="15"/>
  <c r="D477" i="15"/>
  <c r="D473" i="15"/>
  <c r="D502" i="15"/>
  <c r="D498" i="15"/>
  <c r="D494" i="15"/>
  <c r="D490" i="15"/>
  <c r="D486" i="15"/>
  <c r="D482" i="15"/>
  <c r="D478" i="15"/>
  <c r="D474" i="15"/>
  <c r="D470" i="15"/>
  <c r="D466" i="15"/>
  <c r="D462" i="15"/>
  <c r="D458" i="15"/>
  <c r="D454" i="15"/>
  <c r="D450" i="15"/>
  <c r="D446" i="15"/>
  <c r="D442" i="15"/>
  <c r="D438" i="15"/>
  <c r="D434" i="15"/>
  <c r="D430" i="15"/>
  <c r="D426" i="15"/>
  <c r="D422" i="15"/>
  <c r="D418" i="15"/>
  <c r="D414" i="15"/>
  <c r="D410" i="15"/>
  <c r="D406" i="15"/>
  <c r="D402" i="15"/>
  <c r="D398" i="15"/>
  <c r="D394" i="15"/>
  <c r="D324" i="15"/>
  <c r="C321" i="15"/>
  <c r="D316" i="15"/>
  <c r="C313" i="15"/>
  <c r="D308" i="15"/>
  <c r="C305" i="15"/>
  <c r="D300" i="15"/>
  <c r="C297" i="15"/>
  <c r="D292" i="15"/>
  <c r="C289" i="15"/>
  <c r="D284" i="15"/>
  <c r="D282" i="15"/>
  <c r="D280" i="15"/>
  <c r="D248" i="15"/>
  <c r="D244" i="15"/>
  <c r="D240" i="15"/>
  <c r="D236" i="15"/>
  <c r="D232" i="15"/>
  <c r="D228" i="15"/>
  <c r="D224" i="15"/>
  <c r="D215" i="15"/>
  <c r="D207" i="15"/>
  <c r="D199" i="15"/>
  <c r="D191" i="15"/>
  <c r="D183" i="15"/>
  <c r="D175" i="15"/>
  <c r="D167" i="15"/>
  <c r="C145" i="15"/>
  <c r="D145" i="15"/>
  <c r="C129" i="15"/>
  <c r="D129" i="15"/>
  <c r="C113" i="15"/>
  <c r="D113" i="15"/>
  <c r="C97" i="15"/>
  <c r="D97" i="15"/>
  <c r="C81" i="15"/>
  <c r="D81" i="15"/>
  <c r="C65" i="15"/>
  <c r="D65" i="15"/>
  <c r="C58" i="15"/>
  <c r="D221" i="15"/>
  <c r="C218" i="15"/>
  <c r="D213" i="15"/>
  <c r="C210" i="15"/>
  <c r="D205" i="15"/>
  <c r="C202" i="15"/>
  <c r="D197" i="15"/>
  <c r="C194" i="15"/>
  <c r="D189" i="15"/>
  <c r="C186" i="15"/>
  <c r="D181" i="15"/>
  <c r="C178" i="15"/>
  <c r="D173" i="15"/>
  <c r="C170" i="15"/>
  <c r="D165" i="15"/>
  <c r="C162" i="15"/>
  <c r="C157" i="15"/>
  <c r="D157" i="15"/>
  <c r="C150" i="15"/>
  <c r="C141" i="15"/>
  <c r="D141" i="15"/>
  <c r="C134" i="15"/>
  <c r="C125" i="15"/>
  <c r="D125" i="15"/>
  <c r="C118" i="15"/>
  <c r="C109" i="15"/>
  <c r="D109" i="15"/>
  <c r="C102" i="15"/>
  <c r="C93" i="15"/>
  <c r="D93" i="15"/>
  <c r="C86" i="15"/>
  <c r="C77" i="15"/>
  <c r="D77" i="15"/>
  <c r="C70" i="15"/>
  <c r="C61" i="15"/>
  <c r="D61" i="15"/>
  <c r="C54" i="15"/>
  <c r="C153" i="15"/>
  <c r="D153" i="15"/>
  <c r="C137" i="15"/>
  <c r="D137" i="15"/>
  <c r="C121" i="15"/>
  <c r="D121" i="15"/>
  <c r="C105" i="15"/>
  <c r="D105" i="15"/>
  <c r="C89" i="15"/>
  <c r="D89" i="15"/>
  <c r="C73" i="15"/>
  <c r="D73" i="15"/>
  <c r="C57" i="15"/>
  <c r="D57" i="15"/>
  <c r="D217" i="15"/>
  <c r="C214" i="15"/>
  <c r="D209" i="15"/>
  <c r="C206" i="15"/>
  <c r="D201" i="15"/>
  <c r="C198" i="15"/>
  <c r="D193" i="15"/>
  <c r="C190" i="15"/>
  <c r="D185" i="15"/>
  <c r="C182" i="15"/>
  <c r="D177" i="15"/>
  <c r="C174" i="15"/>
  <c r="D169" i="15"/>
  <c r="C166" i="15"/>
  <c r="D161" i="15"/>
  <c r="C149" i="15"/>
  <c r="D149" i="15"/>
  <c r="C133" i="15"/>
  <c r="D133" i="15"/>
  <c r="C117" i="15"/>
  <c r="D117" i="15"/>
  <c r="C101" i="15"/>
  <c r="D101" i="15"/>
  <c r="C85" i="15"/>
  <c r="D85" i="15"/>
  <c r="C69" i="15"/>
  <c r="D69" i="15"/>
  <c r="C53" i="15"/>
  <c r="D53" i="15"/>
  <c r="D28" i="15"/>
  <c r="C31" i="15"/>
  <c r="D44" i="15"/>
  <c r="C47" i="15"/>
  <c r="D35" i="15"/>
  <c r="D51" i="15"/>
  <c r="D6" i="15"/>
  <c r="D12" i="15"/>
  <c r="D16" i="15"/>
  <c r="D22" i="15"/>
  <c r="D3" i="15"/>
  <c r="D5" i="15"/>
  <c r="D7" i="15"/>
  <c r="D9" i="15"/>
  <c r="D11" i="15"/>
  <c r="D13" i="15"/>
  <c r="D15" i="15"/>
  <c r="D17" i="15"/>
  <c r="D19" i="15"/>
  <c r="D21" i="15"/>
  <c r="D23" i="15"/>
  <c r="D32" i="15"/>
  <c r="D39" i="15"/>
  <c r="D48" i="15"/>
  <c r="D4" i="15"/>
  <c r="D18" i="15"/>
  <c r="D40" i="15"/>
  <c r="C43" i="15"/>
  <c r="D8" i="15"/>
  <c r="D10" i="15"/>
  <c r="D14" i="15"/>
  <c r="D20" i="15"/>
  <c r="D24" i="15"/>
  <c r="C27" i="15"/>
  <c r="D36" i="15"/>
  <c r="D52" i="15"/>
  <c r="C26" i="15"/>
  <c r="C34" i="15"/>
  <c r="C46" i="15"/>
  <c r="C50" i="15"/>
  <c r="C30" i="15"/>
  <c r="C38" i="15"/>
  <c r="C42" i="15"/>
  <c r="C25" i="15"/>
  <c r="C29" i="15"/>
  <c r="C33" i="15"/>
  <c r="C37" i="15"/>
  <c r="C41" i="15"/>
  <c r="C45" i="15"/>
  <c r="C49" i="15"/>
  <c r="B4" i="11"/>
  <c r="C4" i="11" s="1"/>
  <c r="B5" i="11"/>
  <c r="D5" i="11" s="1"/>
  <c r="B6" i="11"/>
  <c r="C6" i="11" s="1"/>
  <c r="B7" i="11"/>
  <c r="C7" i="11" s="1"/>
  <c r="B8" i="11"/>
  <c r="C8" i="11" s="1"/>
  <c r="B9" i="11"/>
  <c r="D9" i="11" s="1"/>
  <c r="B10" i="11"/>
  <c r="C10" i="11" s="1"/>
  <c r="B11" i="11"/>
  <c r="C11" i="11" s="1"/>
  <c r="B12" i="11"/>
  <c r="C12" i="11" s="1"/>
  <c r="B13" i="11"/>
  <c r="D13" i="11" s="1"/>
  <c r="B14" i="11"/>
  <c r="C14" i="11" s="1"/>
  <c r="B15" i="11"/>
  <c r="C15" i="11" s="1"/>
  <c r="B16" i="11"/>
  <c r="C16" i="11" s="1"/>
  <c r="B17" i="11"/>
  <c r="D17" i="11" s="1"/>
  <c r="B18" i="11"/>
  <c r="C18" i="11" s="1"/>
  <c r="B19" i="11"/>
  <c r="C19" i="11" s="1"/>
  <c r="B20" i="11"/>
  <c r="C20" i="11" s="1"/>
  <c r="B21" i="11"/>
  <c r="D21" i="11" s="1"/>
  <c r="B22" i="11"/>
  <c r="C22" i="11" s="1"/>
  <c r="B23" i="11"/>
  <c r="C23" i="11" s="1"/>
  <c r="B24" i="11"/>
  <c r="C24" i="11" s="1"/>
  <c r="B25" i="11"/>
  <c r="D25" i="11" s="1"/>
  <c r="B26" i="11"/>
  <c r="C26" i="11" s="1"/>
  <c r="B27" i="11"/>
  <c r="C27" i="11" s="1"/>
  <c r="B28" i="11"/>
  <c r="C28" i="11" s="1"/>
  <c r="B29" i="11"/>
  <c r="D29" i="11" s="1"/>
  <c r="B30" i="11"/>
  <c r="C30" i="11" s="1"/>
  <c r="B31" i="11"/>
  <c r="C31" i="11" s="1"/>
  <c r="B32" i="11"/>
  <c r="C32" i="11" s="1"/>
  <c r="B33" i="11"/>
  <c r="D33" i="11" s="1"/>
  <c r="B34" i="11"/>
  <c r="C34" i="11" s="1"/>
  <c r="B35" i="11"/>
  <c r="C35" i="11" s="1"/>
  <c r="B36" i="11"/>
  <c r="C36" i="11" s="1"/>
  <c r="B37" i="11"/>
  <c r="D37" i="11" s="1"/>
  <c r="B38" i="11"/>
  <c r="C38" i="11" s="1"/>
  <c r="B39" i="11"/>
  <c r="C39" i="11" s="1"/>
  <c r="B40" i="11"/>
  <c r="C40" i="11" s="1"/>
  <c r="B41" i="11"/>
  <c r="D41" i="11" s="1"/>
  <c r="B42" i="11"/>
  <c r="D42" i="11" s="1"/>
  <c r="B43" i="11"/>
  <c r="C43" i="11" s="1"/>
  <c r="B44" i="11"/>
  <c r="C44" i="11" s="1"/>
  <c r="B45" i="11"/>
  <c r="D45" i="11" s="1"/>
  <c r="B46" i="11"/>
  <c r="C46" i="11" s="1"/>
  <c r="B47" i="11"/>
  <c r="C47" i="11" s="1"/>
  <c r="B48" i="11"/>
  <c r="C48" i="11" s="1"/>
  <c r="B49" i="11"/>
  <c r="D49" i="11" s="1"/>
  <c r="B50" i="11"/>
  <c r="C50" i="11" s="1"/>
  <c r="B51" i="11"/>
  <c r="C51" i="11" s="1"/>
  <c r="B52" i="11"/>
  <c r="C52" i="11" s="1"/>
  <c r="G4" i="15" l="1"/>
  <c r="G8" i="15"/>
  <c r="G12" i="15"/>
  <c r="G16" i="15"/>
  <c r="G20" i="15"/>
  <c r="G15" i="15"/>
  <c r="G5" i="15"/>
  <c r="G9" i="15"/>
  <c r="G13" i="15"/>
  <c r="G17" i="15"/>
  <c r="G21" i="15"/>
  <c r="G11" i="15"/>
  <c r="G23" i="15"/>
  <c r="G6" i="15"/>
  <c r="G10" i="15"/>
  <c r="G14" i="15"/>
  <c r="G18" i="15"/>
  <c r="G22" i="15"/>
  <c r="G7" i="15"/>
  <c r="G19" i="15"/>
  <c r="G3" i="15"/>
  <c r="C49" i="11"/>
  <c r="D46" i="11"/>
  <c r="C42" i="11"/>
  <c r="C37" i="11"/>
  <c r="C33" i="11"/>
  <c r="D30" i="11"/>
  <c r="C17" i="11"/>
  <c r="D14" i="11"/>
  <c r="C9" i="11"/>
  <c r="D26" i="11"/>
  <c r="D10" i="11"/>
  <c r="D34" i="11"/>
  <c r="C21" i="11"/>
  <c r="D18" i="11"/>
  <c r="C5" i="11"/>
  <c r="D50" i="11"/>
  <c r="C41" i="11"/>
  <c r="D38" i="11"/>
  <c r="C25" i="11"/>
  <c r="D22" i="11"/>
  <c r="D6" i="11"/>
  <c r="C45" i="11"/>
  <c r="C29" i="11"/>
  <c r="C13" i="11"/>
  <c r="D51" i="11"/>
  <c r="D47" i="11"/>
  <c r="D43" i="11"/>
  <c r="D39" i="11"/>
  <c r="D35" i="11"/>
  <c r="D31" i="11"/>
  <c r="D27" i="11"/>
  <c r="D23" i="11"/>
  <c r="D19" i="11"/>
  <c r="D15" i="11"/>
  <c r="D11" i="11"/>
  <c r="D7" i="11"/>
  <c r="D52" i="11"/>
  <c r="D48" i="11"/>
  <c r="D44" i="11"/>
  <c r="D40" i="11"/>
  <c r="D36" i="11"/>
  <c r="D32" i="11"/>
  <c r="D28" i="11"/>
  <c r="D24" i="11"/>
  <c r="D20" i="11"/>
  <c r="D16" i="11"/>
  <c r="D12" i="11"/>
  <c r="D8" i="11"/>
  <c r="D4" i="11"/>
  <c r="B3" i="14" l="1"/>
  <c r="C3" i="14" s="1"/>
  <c r="D3" i="14" s="1"/>
  <c r="F3" i="14" s="1"/>
  <c r="B4" i="14"/>
  <c r="C4" i="14" s="1"/>
  <c r="D4" i="14" s="1"/>
  <c r="F4" i="14" s="1"/>
  <c r="B5" i="14"/>
  <c r="C5" i="14" s="1"/>
  <c r="D5" i="14" s="1"/>
  <c r="F5" i="14" s="1"/>
  <c r="B6" i="14"/>
  <c r="C6" i="14" s="1"/>
  <c r="D6" i="14" s="1"/>
  <c r="F6" i="14" s="1"/>
  <c r="B7" i="14"/>
  <c r="C7" i="14" s="1"/>
  <c r="D7" i="14" s="1"/>
  <c r="F7" i="14" s="1"/>
  <c r="B8" i="14"/>
  <c r="C8" i="14" s="1"/>
  <c r="D8" i="14" s="1"/>
  <c r="F8" i="14" s="1"/>
  <c r="B9" i="14"/>
  <c r="C9" i="14" s="1"/>
  <c r="D9" i="14" s="1"/>
  <c r="F9" i="14" s="1"/>
  <c r="B10" i="14"/>
  <c r="C10" i="14" s="1"/>
  <c r="D10" i="14" s="1"/>
  <c r="F10" i="14" s="1"/>
  <c r="B11" i="14"/>
  <c r="C11" i="14" s="1"/>
  <c r="D11" i="14" s="1"/>
  <c r="F11" i="14" s="1"/>
  <c r="B12" i="14"/>
  <c r="C12" i="14" s="1"/>
  <c r="D12" i="14" s="1"/>
  <c r="F12" i="14" s="1"/>
  <c r="B13" i="14"/>
  <c r="C13" i="14" s="1"/>
  <c r="D13" i="14" s="1"/>
  <c r="F13" i="14" s="1"/>
  <c r="B14" i="14"/>
  <c r="C14" i="14" s="1"/>
  <c r="D14" i="14" s="1"/>
  <c r="F14" i="14" s="1"/>
  <c r="B15" i="14"/>
  <c r="C15" i="14" s="1"/>
  <c r="D15" i="14" s="1"/>
  <c r="F15" i="14" s="1"/>
  <c r="B16" i="14"/>
  <c r="C16" i="14" s="1"/>
  <c r="D16" i="14" s="1"/>
  <c r="F16" i="14" s="1"/>
  <c r="B17" i="14"/>
  <c r="C17" i="14" s="1"/>
  <c r="D17" i="14" s="1"/>
  <c r="F17" i="14" s="1"/>
  <c r="B18" i="14"/>
  <c r="C18" i="14" s="1"/>
  <c r="D18" i="14" s="1"/>
  <c r="F18" i="14" s="1"/>
  <c r="B19" i="14"/>
  <c r="C19" i="14" s="1"/>
  <c r="D19" i="14" s="1"/>
  <c r="F19" i="14" s="1"/>
  <c r="B20" i="14"/>
  <c r="C20" i="14" s="1"/>
  <c r="D20" i="14" s="1"/>
  <c r="F20" i="14" s="1"/>
  <c r="B21" i="14"/>
  <c r="C21" i="14" s="1"/>
  <c r="D21" i="14" s="1"/>
  <c r="F21" i="14" s="1"/>
  <c r="B22" i="14"/>
  <c r="C22" i="14" s="1"/>
  <c r="D22" i="14" s="1"/>
  <c r="F22" i="14" s="1"/>
  <c r="B23" i="14"/>
  <c r="C23" i="14" s="1"/>
  <c r="D23" i="14" s="1"/>
  <c r="F23" i="14" s="1"/>
  <c r="B24" i="14"/>
  <c r="C24" i="14" s="1"/>
  <c r="D24" i="14" s="1"/>
  <c r="F24" i="14" s="1"/>
  <c r="B25" i="14"/>
  <c r="C25" i="14" s="1"/>
  <c r="D25" i="14" s="1"/>
  <c r="F25" i="14" s="1"/>
  <c r="B26" i="14"/>
  <c r="C26" i="14" s="1"/>
  <c r="D26" i="14" s="1"/>
  <c r="F26" i="14" s="1"/>
  <c r="B27" i="14"/>
  <c r="C27" i="14" s="1"/>
  <c r="D27" i="14" s="1"/>
  <c r="F27" i="14" s="1"/>
  <c r="B28" i="14"/>
  <c r="C28" i="14" s="1"/>
  <c r="D28" i="14" s="1"/>
  <c r="F28" i="14" s="1"/>
  <c r="B29" i="14"/>
  <c r="C29" i="14" s="1"/>
  <c r="D29" i="14" s="1"/>
  <c r="F29" i="14" s="1"/>
  <c r="B30" i="14"/>
  <c r="C30" i="14" s="1"/>
  <c r="D30" i="14" s="1"/>
  <c r="F30" i="14" s="1"/>
  <c r="B31" i="14"/>
  <c r="C31" i="14" s="1"/>
  <c r="D31" i="14" s="1"/>
  <c r="F31" i="14" s="1"/>
  <c r="B32" i="14"/>
  <c r="C32" i="14" s="1"/>
  <c r="D32" i="14" s="1"/>
  <c r="F32" i="14" s="1"/>
  <c r="B33" i="14"/>
  <c r="C33" i="14" s="1"/>
  <c r="D33" i="14" s="1"/>
  <c r="F33" i="14" s="1"/>
  <c r="B34" i="14"/>
  <c r="C34" i="14" s="1"/>
  <c r="D34" i="14" s="1"/>
  <c r="F34" i="14" s="1"/>
  <c r="B35" i="14"/>
  <c r="C35" i="14" s="1"/>
  <c r="D35" i="14" s="1"/>
  <c r="F35" i="14" s="1"/>
  <c r="B36" i="14"/>
  <c r="C36" i="14" s="1"/>
  <c r="D36" i="14" s="1"/>
  <c r="F36" i="14" s="1"/>
  <c r="B37" i="14"/>
  <c r="C37" i="14" s="1"/>
  <c r="D37" i="14" s="1"/>
  <c r="F37" i="14" s="1"/>
  <c r="B38" i="14"/>
  <c r="C38" i="14" s="1"/>
  <c r="D38" i="14" s="1"/>
  <c r="F38" i="14" s="1"/>
  <c r="B39" i="14"/>
  <c r="C39" i="14" s="1"/>
  <c r="D39" i="14" s="1"/>
  <c r="F39" i="14" s="1"/>
  <c r="B40" i="14"/>
  <c r="C40" i="14" s="1"/>
  <c r="D40" i="14" s="1"/>
  <c r="F40" i="14" s="1"/>
  <c r="B41" i="14"/>
  <c r="C41" i="14" s="1"/>
  <c r="D41" i="14" s="1"/>
  <c r="F41" i="14" s="1"/>
  <c r="B42" i="14"/>
  <c r="C42" i="14" s="1"/>
  <c r="D42" i="14" s="1"/>
  <c r="F42" i="14" s="1"/>
  <c r="B43" i="14"/>
  <c r="C43" i="14" s="1"/>
  <c r="D43" i="14" s="1"/>
  <c r="F43" i="14" s="1"/>
  <c r="B44" i="14"/>
  <c r="C44" i="14" s="1"/>
  <c r="D44" i="14" s="1"/>
  <c r="F44" i="14" s="1"/>
  <c r="B45" i="14"/>
  <c r="C45" i="14" s="1"/>
  <c r="D45" i="14" s="1"/>
  <c r="F45" i="14" s="1"/>
  <c r="B46" i="14"/>
  <c r="C46" i="14" s="1"/>
  <c r="D46" i="14" s="1"/>
  <c r="F46" i="14" s="1"/>
  <c r="B47" i="14"/>
  <c r="C47" i="14" s="1"/>
  <c r="D47" i="14" s="1"/>
  <c r="F47" i="14" s="1"/>
  <c r="B48" i="14"/>
  <c r="C48" i="14" s="1"/>
  <c r="D48" i="14" s="1"/>
  <c r="F48" i="14" s="1"/>
  <c r="B49" i="14"/>
  <c r="C49" i="14" s="1"/>
  <c r="D49" i="14" s="1"/>
  <c r="F49" i="14" s="1"/>
  <c r="B50" i="14"/>
  <c r="C50" i="14" s="1"/>
  <c r="D50" i="14" s="1"/>
  <c r="F50" i="14" s="1"/>
  <c r="B51" i="14"/>
  <c r="C51" i="14" s="1"/>
  <c r="D51" i="14" s="1"/>
  <c r="F51" i="14" s="1"/>
  <c r="B52" i="14"/>
  <c r="C52" i="14" s="1"/>
  <c r="D52" i="14" s="1"/>
  <c r="F52" i="14" s="1"/>
  <c r="B53" i="14"/>
  <c r="C53" i="14" s="1"/>
  <c r="D53" i="14" s="1"/>
  <c r="F53" i="14" s="1"/>
  <c r="B54" i="14"/>
  <c r="C54" i="14" s="1"/>
  <c r="D54" i="14" s="1"/>
  <c r="F54" i="14" s="1"/>
  <c r="B55" i="14"/>
  <c r="C55" i="14" s="1"/>
  <c r="D55" i="14" s="1"/>
  <c r="F55" i="14" s="1"/>
  <c r="B56" i="14"/>
  <c r="C56" i="14" s="1"/>
  <c r="D56" i="14" s="1"/>
  <c r="F56" i="14" s="1"/>
  <c r="B57" i="14"/>
  <c r="C57" i="14" s="1"/>
  <c r="D57" i="14" s="1"/>
  <c r="F57" i="14" s="1"/>
  <c r="B58" i="14"/>
  <c r="C58" i="14" s="1"/>
  <c r="D58" i="14" s="1"/>
  <c r="F58" i="14" s="1"/>
  <c r="B59" i="14"/>
  <c r="C59" i="14" s="1"/>
  <c r="D59" i="14" s="1"/>
  <c r="F59" i="14" s="1"/>
  <c r="B60" i="14"/>
  <c r="C60" i="14" s="1"/>
  <c r="D60" i="14" s="1"/>
  <c r="F60" i="14" s="1"/>
  <c r="B61" i="14"/>
  <c r="C61" i="14" s="1"/>
  <c r="D61" i="14" s="1"/>
  <c r="F61" i="14" s="1"/>
  <c r="B62" i="14"/>
  <c r="C62" i="14" s="1"/>
  <c r="D62" i="14" s="1"/>
  <c r="F62" i="14" s="1"/>
  <c r="B63" i="14"/>
  <c r="C63" i="14" s="1"/>
  <c r="D63" i="14" s="1"/>
  <c r="F63" i="14" s="1"/>
  <c r="B64" i="14"/>
  <c r="C64" i="14" s="1"/>
  <c r="D64" i="14" s="1"/>
  <c r="F64" i="14" s="1"/>
  <c r="B65" i="14"/>
  <c r="C65" i="14" s="1"/>
  <c r="D65" i="14" s="1"/>
  <c r="F65" i="14" s="1"/>
  <c r="B66" i="14"/>
  <c r="C66" i="14" s="1"/>
  <c r="D66" i="14" s="1"/>
  <c r="F66" i="14" s="1"/>
  <c r="B67" i="14"/>
  <c r="C67" i="14" s="1"/>
  <c r="D67" i="14" s="1"/>
  <c r="F67" i="14" s="1"/>
  <c r="B68" i="14"/>
  <c r="C68" i="14" s="1"/>
  <c r="D68" i="14" s="1"/>
  <c r="F68" i="14" s="1"/>
  <c r="B69" i="14"/>
  <c r="C69" i="14" s="1"/>
  <c r="D69" i="14" s="1"/>
  <c r="F69" i="14" s="1"/>
  <c r="B70" i="14"/>
  <c r="C70" i="14" s="1"/>
  <c r="D70" i="14" s="1"/>
  <c r="F70" i="14" s="1"/>
  <c r="B71" i="14"/>
  <c r="C71" i="14" s="1"/>
  <c r="D71" i="14" s="1"/>
  <c r="F71" i="14" s="1"/>
  <c r="B72" i="14"/>
  <c r="C72" i="14" s="1"/>
  <c r="D72" i="14" s="1"/>
  <c r="F72" i="14" s="1"/>
  <c r="B73" i="14"/>
  <c r="C73" i="14" s="1"/>
  <c r="D73" i="14" s="1"/>
  <c r="F73" i="14" s="1"/>
  <c r="B74" i="14"/>
  <c r="C74" i="14" s="1"/>
  <c r="D74" i="14" s="1"/>
  <c r="F74" i="14" s="1"/>
  <c r="B75" i="14"/>
  <c r="C75" i="14" s="1"/>
  <c r="D75" i="14" s="1"/>
  <c r="F75" i="14" s="1"/>
  <c r="B76" i="14"/>
  <c r="C76" i="14" s="1"/>
  <c r="D76" i="14" s="1"/>
  <c r="F76" i="14" s="1"/>
  <c r="B77" i="14"/>
  <c r="C77" i="14" s="1"/>
  <c r="D77" i="14" s="1"/>
  <c r="F77" i="14" s="1"/>
  <c r="B78" i="14"/>
  <c r="C78" i="14" s="1"/>
  <c r="D78" i="14" s="1"/>
  <c r="F78" i="14" s="1"/>
  <c r="B79" i="14"/>
  <c r="C79" i="14" s="1"/>
  <c r="D79" i="14" s="1"/>
  <c r="F79" i="14" s="1"/>
  <c r="B80" i="14"/>
  <c r="C80" i="14" s="1"/>
  <c r="D80" i="14" s="1"/>
  <c r="F80" i="14" s="1"/>
  <c r="B81" i="14"/>
  <c r="C81" i="14" s="1"/>
  <c r="D81" i="14" s="1"/>
  <c r="F81" i="14" s="1"/>
  <c r="B82" i="14"/>
  <c r="C82" i="14" s="1"/>
  <c r="D82" i="14" s="1"/>
  <c r="F82" i="14" s="1"/>
  <c r="B83" i="14"/>
  <c r="C83" i="14" s="1"/>
  <c r="D83" i="14" s="1"/>
  <c r="F83" i="14" s="1"/>
  <c r="B84" i="14"/>
  <c r="C84" i="14" s="1"/>
  <c r="D84" i="14" s="1"/>
  <c r="F84" i="14" s="1"/>
  <c r="B85" i="14"/>
  <c r="C85" i="14" s="1"/>
  <c r="D85" i="14" s="1"/>
  <c r="F85" i="14" s="1"/>
  <c r="B86" i="14"/>
  <c r="C86" i="14" s="1"/>
  <c r="D86" i="14" s="1"/>
  <c r="F86" i="14" s="1"/>
  <c r="B87" i="14"/>
  <c r="C87" i="14" s="1"/>
  <c r="D87" i="14" s="1"/>
  <c r="F87" i="14" s="1"/>
  <c r="B88" i="14"/>
  <c r="C88" i="14" s="1"/>
  <c r="D88" i="14" s="1"/>
  <c r="F88" i="14" s="1"/>
  <c r="B89" i="14"/>
  <c r="C89" i="14" s="1"/>
  <c r="D89" i="14" s="1"/>
  <c r="F89" i="14" s="1"/>
  <c r="B90" i="14"/>
  <c r="C90" i="14" s="1"/>
  <c r="D90" i="14" s="1"/>
  <c r="F90" i="14" s="1"/>
  <c r="B91" i="14"/>
  <c r="C91" i="14" s="1"/>
  <c r="D91" i="14" s="1"/>
  <c r="F91" i="14" s="1"/>
  <c r="B92" i="14"/>
  <c r="C92" i="14" s="1"/>
  <c r="D92" i="14" s="1"/>
  <c r="F92" i="14" s="1"/>
  <c r="B93" i="14"/>
  <c r="C93" i="14" s="1"/>
  <c r="D93" i="14" s="1"/>
  <c r="F93" i="14" s="1"/>
  <c r="B94" i="14"/>
  <c r="C94" i="14" s="1"/>
  <c r="D94" i="14" s="1"/>
  <c r="F94" i="14" s="1"/>
  <c r="B95" i="14"/>
  <c r="C95" i="14" s="1"/>
  <c r="D95" i="14" s="1"/>
  <c r="F95" i="14" s="1"/>
  <c r="B96" i="14"/>
  <c r="C96" i="14" s="1"/>
  <c r="D96" i="14" s="1"/>
  <c r="F96" i="14" s="1"/>
  <c r="B97" i="14"/>
  <c r="C97" i="14" s="1"/>
  <c r="D97" i="14" s="1"/>
  <c r="F97" i="14" s="1"/>
  <c r="B98" i="14"/>
  <c r="C98" i="14" s="1"/>
  <c r="D98" i="14" s="1"/>
  <c r="F98" i="14" s="1"/>
  <c r="B99" i="14"/>
  <c r="C99" i="14" s="1"/>
  <c r="D99" i="14" s="1"/>
  <c r="F99" i="14" s="1"/>
  <c r="B100" i="14"/>
  <c r="C100" i="14" s="1"/>
  <c r="D100" i="14" s="1"/>
  <c r="F100" i="14" s="1"/>
  <c r="B101" i="14"/>
  <c r="C101" i="14" s="1"/>
  <c r="D101" i="14" s="1"/>
  <c r="F101" i="14" s="1"/>
  <c r="B102" i="14"/>
  <c r="C102" i="14" s="1"/>
  <c r="D102" i="14" s="1"/>
  <c r="F102" i="14" s="1"/>
  <c r="B3" i="11"/>
  <c r="C3" i="11" s="1"/>
  <c r="D3" i="11" l="1"/>
  <c r="G14" i="11" l="1"/>
  <c r="G18" i="11"/>
  <c r="G22" i="11"/>
  <c r="G20" i="11"/>
  <c r="G21" i="11"/>
  <c r="G15" i="11"/>
  <c r="G19" i="11"/>
  <c r="G23" i="11"/>
  <c r="G16" i="11"/>
  <c r="G17" i="11"/>
  <c r="G4" i="11"/>
  <c r="G6" i="11"/>
  <c r="G10" i="11"/>
  <c r="G7" i="11"/>
  <c r="G13" i="11"/>
  <c r="G5" i="11"/>
  <c r="G8" i="11"/>
  <c r="G3" i="11"/>
  <c r="G9" i="11"/>
  <c r="G11" i="11"/>
  <c r="G12" i="11"/>
  <c r="L2" i="14" l="1"/>
  <c r="L10" i="14" s="1"/>
</calcChain>
</file>

<file path=xl/sharedStrings.xml><?xml version="1.0" encoding="utf-8"?>
<sst xmlns="http://schemas.openxmlformats.org/spreadsheetml/2006/main" count="44" uniqueCount="23">
  <si>
    <t>Simulation</t>
  </si>
  <si>
    <t>Replication</t>
  </si>
  <si>
    <t>Random number</t>
  </si>
  <si>
    <t>Revenue</t>
  </si>
  <si>
    <t>Profit</t>
  </si>
  <si>
    <t>Num of rooms</t>
  </si>
  <si>
    <t>Data</t>
  </si>
  <si>
    <t>mean</t>
  </si>
  <si>
    <t>standard deviation</t>
  </si>
  <si>
    <t>noshow distribution</t>
  </si>
  <si>
    <t>Frequency</t>
  </si>
  <si>
    <t>profit</t>
  </si>
  <si>
    <t>Draw from Dist</t>
  </si>
  <si>
    <t>NORM.INV(B3,$I$3,$J$3)</t>
  </si>
  <si>
    <t>High Fare Demand</t>
  </si>
  <si>
    <t>High Fare distribution</t>
  </si>
  <si>
    <t>High Fare D</t>
  </si>
  <si>
    <t>Low Fare</t>
  </si>
  <si>
    <t>High Fare</t>
  </si>
  <si>
    <t>Protection Level</t>
  </si>
  <si>
    <t>Sales</t>
  </si>
  <si>
    <t>best -&gt;</t>
  </si>
  <si>
    <t>&lt;- highest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</si>
</sst>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0"/>
  </numFmts>
  <fonts count="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Garamond"/>
      <family val="1"/>
    </font>
    <font>
      <sz val="11"/>
      <name val="Garamond"/>
      <family val="1"/>
    </font>
    <font>
      <b/>
      <sz val="11"/>
      <name val="Garamond"/>
      <family val="1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 style="medium">
        <color indexed="12"/>
      </left>
      <right/>
      <top style="medium">
        <color indexed="12"/>
      </top>
      <bottom/>
      <diagonal/>
    </border>
    <border>
      <left/>
      <right style="medium">
        <color indexed="12"/>
      </right>
      <top style="medium">
        <color indexed="12"/>
      </top>
      <bottom/>
      <diagonal/>
    </border>
    <border>
      <left style="medium">
        <color indexed="12"/>
      </left>
      <right/>
      <top/>
      <bottom/>
      <diagonal/>
    </border>
    <border>
      <left/>
      <right style="medium">
        <color indexed="12"/>
      </right>
      <top/>
      <bottom/>
      <diagonal/>
    </border>
    <border>
      <left style="medium">
        <color indexed="12"/>
      </left>
      <right/>
      <top/>
      <bottom style="medium">
        <color indexed="12"/>
      </bottom>
      <diagonal/>
    </border>
    <border>
      <left/>
      <right style="medium">
        <color indexed="12"/>
      </right>
      <top/>
      <bottom style="medium">
        <color indexed="12"/>
      </bottom>
      <diagonal/>
    </border>
    <border>
      <left style="medium">
        <color indexed="12"/>
      </left>
      <right style="medium">
        <color indexed="12"/>
      </right>
      <top style="medium">
        <color indexed="12"/>
      </top>
      <bottom/>
      <diagonal/>
    </border>
    <border>
      <left style="medium">
        <color indexed="12"/>
      </left>
      <right style="medium">
        <color indexed="12"/>
      </right>
      <top/>
      <bottom/>
      <diagonal/>
    </border>
    <border>
      <left style="medium">
        <color indexed="12"/>
      </left>
      <right style="medium">
        <color indexed="12"/>
      </right>
      <top/>
      <bottom style="medium">
        <color indexed="12"/>
      </bottom>
      <diagonal/>
    </border>
    <border>
      <left/>
      <right/>
      <top/>
      <bottom style="medium">
        <color indexed="12"/>
      </bottom>
      <diagonal/>
    </border>
  </borders>
  <cellStyleXfs count="8">
    <xf numFmtId="0" fontId="0" fillId="0" borderId="0"/>
    <xf numFmtId="0" fontId="2" fillId="0" borderId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</cellStyleXfs>
  <cellXfs count="24">
    <xf numFmtId="0" fontId="0" fillId="0" borderId="0" xfId="0"/>
    <xf numFmtId="0" fontId="4" fillId="0" borderId="0" xfId="1" applyFont="1" applyAlignment="1">
      <alignment horizontal="center" vertical="center"/>
    </xf>
    <xf numFmtId="0" fontId="4" fillId="0" borderId="0" xfId="1" applyFont="1" applyFill="1" applyBorder="1" applyAlignment="1">
      <alignment horizontal="center" vertical="center"/>
    </xf>
    <xf numFmtId="164" fontId="4" fillId="0" borderId="0" xfId="1" applyNumberFormat="1" applyFont="1" applyFill="1" applyBorder="1" applyAlignment="1">
      <alignment horizontal="center" vertical="center"/>
    </xf>
    <xf numFmtId="0" fontId="4" fillId="2" borderId="6" xfId="1" applyFont="1" applyFill="1" applyBorder="1" applyAlignment="1">
      <alignment horizontal="center" vertical="center"/>
    </xf>
    <xf numFmtId="0" fontId="4" fillId="2" borderId="5" xfId="1" applyFont="1" applyFill="1" applyBorder="1" applyAlignment="1">
      <alignment horizontal="center" vertical="center"/>
    </xf>
    <xf numFmtId="0" fontId="5" fillId="0" borderId="0" xfId="1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0" fontId="4" fillId="2" borderId="3" xfId="1" applyFont="1" applyFill="1" applyBorder="1" applyAlignment="1">
      <alignment horizontal="center" vertical="center"/>
    </xf>
    <xf numFmtId="2" fontId="4" fillId="2" borderId="3" xfId="1" applyNumberFormat="1" applyFont="1" applyFill="1" applyBorder="1" applyAlignment="1">
      <alignment horizontal="center" vertical="center"/>
    </xf>
    <xf numFmtId="39" fontId="5" fillId="2" borderId="9" xfId="2" applyNumberFormat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2" fontId="4" fillId="2" borderId="1" xfId="1" applyNumberFormat="1" applyFont="1" applyFill="1" applyBorder="1" applyAlignment="1">
      <alignment horizontal="center" vertical="center"/>
    </xf>
    <xf numFmtId="7" fontId="5" fillId="2" borderId="8" xfId="2" applyNumberFormat="1" applyFont="1" applyFill="1" applyBorder="1" applyAlignment="1">
      <alignment horizontal="center" vertical="center"/>
    </xf>
    <xf numFmtId="0" fontId="4" fillId="0" borderId="0" xfId="1" quotePrefix="1" applyFont="1" applyFill="1" applyBorder="1" applyAlignment="1">
      <alignment horizontal="center" vertical="center"/>
    </xf>
    <xf numFmtId="7" fontId="5" fillId="2" borderId="7" xfId="2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center"/>
    </xf>
    <xf numFmtId="0" fontId="6" fillId="0" borderId="0" xfId="1" applyFont="1" applyFill="1" applyBorder="1" applyAlignment="1">
      <alignment horizontal="center" vertical="center"/>
    </xf>
    <xf numFmtId="0" fontId="3" fillId="0" borderId="0" xfId="0" applyFont="1"/>
    <xf numFmtId="7" fontId="0" fillId="0" borderId="0" xfId="0" applyNumberFormat="1"/>
    <xf numFmtId="0" fontId="7" fillId="0" borderId="0" xfId="0" applyFont="1"/>
    <xf numFmtId="0" fontId="6" fillId="0" borderId="0" xfId="1" applyFont="1" applyFill="1" applyBorder="1" applyAlignment="1">
      <alignment horizontal="center" vertical="center"/>
    </xf>
    <xf numFmtId="0" fontId="3" fillId="0" borderId="0" xfId="0" applyFont="1" applyAlignment="1">
      <alignment horizontal="right"/>
    </xf>
    <xf numFmtId="0" fontId="6" fillId="0" borderId="10" xfId="1" applyFont="1" applyFill="1" applyBorder="1" applyAlignment="1">
      <alignment horizontal="center" vertical="center"/>
    </xf>
  </cellXfs>
  <cellStyles count="8">
    <cellStyle name="Comma 2" xfId="3" xr:uid="{00000000-0005-0000-0000-000000000000}"/>
    <cellStyle name="Currency 2" xfId="2" xr:uid="{00000000-0005-0000-0000-000001000000}"/>
    <cellStyle name="Currency 3" xfId="5" xr:uid="{00000000-0005-0000-0000-000002000000}"/>
    <cellStyle name="Currency 4" xfId="7" xr:uid="{00000000-0005-0000-0000-000003000000}"/>
    <cellStyle name="Normal" xfId="0" builtinId="0"/>
    <cellStyle name="Normal 2" xfId="1" xr:uid="{00000000-0005-0000-0000-000005000000}"/>
    <cellStyle name="Normal 3" xfId="4" xr:uid="{00000000-0005-0000-0000-000006000000}"/>
    <cellStyle name="Normal 4" xfId="6" xr:uid="{00000000-0005-0000-0000-000007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'simulate normal'!$G$2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'simulate normal'!$F$3:$F$23</c:f>
              <c:numCache>
                <c:formatCode>General</c:formatCode>
                <c:ptCount val="21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  <c:pt idx="10">
                  <c:v>30</c:v>
                </c:pt>
                <c:pt idx="11">
                  <c:v>31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35</c:v>
                </c:pt>
                <c:pt idx="16">
                  <c:v>36</c:v>
                </c:pt>
                <c:pt idx="17">
                  <c:v>37</c:v>
                </c:pt>
                <c:pt idx="18">
                  <c:v>38</c:v>
                </c:pt>
                <c:pt idx="19">
                  <c:v>39</c:v>
                </c:pt>
                <c:pt idx="20">
                  <c:v>40</c:v>
                </c:pt>
              </c:numCache>
            </c:numRef>
          </c:cat>
          <c:val>
            <c:numRef>
              <c:f>'simulate normal'!$G$3:$G$23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3</c:v>
                </c:pt>
                <c:pt idx="9">
                  <c:v>6</c:v>
                </c:pt>
                <c:pt idx="10">
                  <c:v>8</c:v>
                </c:pt>
                <c:pt idx="11">
                  <c:v>10</c:v>
                </c:pt>
                <c:pt idx="12">
                  <c:v>5</c:v>
                </c:pt>
                <c:pt idx="13">
                  <c:v>4</c:v>
                </c:pt>
                <c:pt idx="14">
                  <c:v>2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6B-49FF-9002-B6E68EA269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6036720"/>
        <c:axId val="416037280"/>
      </c:barChart>
      <c:catAx>
        <c:axId val="416036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6037280"/>
        <c:crosses val="autoZero"/>
        <c:auto val="1"/>
        <c:lblAlgn val="ctr"/>
        <c:lblOffset val="100"/>
        <c:noMultiLvlLbl val="0"/>
      </c:catAx>
      <c:valAx>
        <c:axId val="416037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6036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'simulate normal long'!$G$2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'simulate normal long'!$F$3:$F$23</c:f>
              <c:numCache>
                <c:formatCode>General</c:formatCode>
                <c:ptCount val="21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  <c:pt idx="10">
                  <c:v>30</c:v>
                </c:pt>
                <c:pt idx="11">
                  <c:v>31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35</c:v>
                </c:pt>
                <c:pt idx="16">
                  <c:v>36</c:v>
                </c:pt>
                <c:pt idx="17">
                  <c:v>37</c:v>
                </c:pt>
                <c:pt idx="18">
                  <c:v>38</c:v>
                </c:pt>
                <c:pt idx="19">
                  <c:v>39</c:v>
                </c:pt>
                <c:pt idx="20">
                  <c:v>40</c:v>
                </c:pt>
              </c:numCache>
            </c:numRef>
          </c:cat>
          <c:val>
            <c:numRef>
              <c:f>'simulate normal long'!$G$3:$G$23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4</c:v>
                </c:pt>
                <c:pt idx="3">
                  <c:v>4</c:v>
                </c:pt>
                <c:pt idx="4">
                  <c:v>13</c:v>
                </c:pt>
                <c:pt idx="5">
                  <c:v>14</c:v>
                </c:pt>
                <c:pt idx="6">
                  <c:v>37</c:v>
                </c:pt>
                <c:pt idx="7">
                  <c:v>43</c:v>
                </c:pt>
                <c:pt idx="8">
                  <c:v>47</c:v>
                </c:pt>
                <c:pt idx="9">
                  <c:v>41</c:v>
                </c:pt>
                <c:pt idx="10">
                  <c:v>62</c:v>
                </c:pt>
                <c:pt idx="11">
                  <c:v>55</c:v>
                </c:pt>
                <c:pt idx="12">
                  <c:v>76</c:v>
                </c:pt>
                <c:pt idx="13">
                  <c:v>46</c:v>
                </c:pt>
                <c:pt idx="14">
                  <c:v>27</c:v>
                </c:pt>
                <c:pt idx="15">
                  <c:v>11</c:v>
                </c:pt>
                <c:pt idx="16">
                  <c:v>12</c:v>
                </c:pt>
                <c:pt idx="17">
                  <c:v>4</c:v>
                </c:pt>
                <c:pt idx="18">
                  <c:v>3</c:v>
                </c:pt>
                <c:pt idx="19">
                  <c:v>1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11-4CB3-AA3F-BD18DFF63C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2542816"/>
        <c:axId val="322543376"/>
      </c:barChart>
      <c:catAx>
        <c:axId val="322542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543376"/>
        <c:crosses val="autoZero"/>
        <c:auto val="1"/>
        <c:lblAlgn val="ctr"/>
        <c:lblOffset val="100"/>
        <c:noMultiLvlLbl val="0"/>
      </c:catAx>
      <c:valAx>
        <c:axId val="322543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542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444500</xdr:colOff>
      <xdr:row>8</xdr:row>
      <xdr:rowOff>132195</xdr:rowOff>
    </xdr:from>
    <xdr:to>
      <xdr:col>14</xdr:col>
      <xdr:colOff>69273</xdr:colOff>
      <xdr:row>23</xdr:row>
      <xdr:rowOff>104486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444500</xdr:colOff>
      <xdr:row>8</xdr:row>
      <xdr:rowOff>132195</xdr:rowOff>
    </xdr:from>
    <xdr:to>
      <xdr:col>14</xdr:col>
      <xdr:colOff>69273</xdr:colOff>
      <xdr:row>23</xdr:row>
      <xdr:rowOff>104486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2"/>
  <sheetViews>
    <sheetView zoomScale="110" zoomScaleNormal="110" workbookViewId="0">
      <selection activeCell="A52" sqref="A52:D52"/>
    </sheetView>
  </sheetViews>
  <sheetFormatPr defaultRowHeight="12.75" x14ac:dyDescent="0.2"/>
  <cols>
    <col min="1" max="1" width="12.7109375" customWidth="1"/>
    <col min="2" max="3" width="18.42578125" customWidth="1"/>
    <col min="4" max="4" width="16.5703125" customWidth="1"/>
    <col min="6" max="6" width="17.5703125" customWidth="1"/>
    <col min="10" max="10" width="18.28515625" customWidth="1"/>
  </cols>
  <sheetData>
    <row r="1" spans="1:10" ht="15.75" thickBot="1" x14ac:dyDescent="0.25">
      <c r="A1" s="17" t="s">
        <v>0</v>
      </c>
      <c r="B1" s="2"/>
      <c r="C1" s="2" t="s">
        <v>13</v>
      </c>
      <c r="D1" s="2"/>
      <c r="I1" s="23" t="s">
        <v>15</v>
      </c>
      <c r="J1" s="23"/>
    </row>
    <row r="2" spans="1:10" ht="15" x14ac:dyDescent="0.2">
      <c r="A2" s="1" t="s">
        <v>1</v>
      </c>
      <c r="B2" s="14" t="s">
        <v>2</v>
      </c>
      <c r="C2" s="14" t="s">
        <v>12</v>
      </c>
      <c r="D2" s="6" t="s">
        <v>14</v>
      </c>
      <c r="F2" s="18" t="s">
        <v>14</v>
      </c>
      <c r="G2" s="18" t="s">
        <v>10</v>
      </c>
      <c r="I2" s="12" t="s">
        <v>7</v>
      </c>
      <c r="J2" s="11" t="s">
        <v>8</v>
      </c>
    </row>
    <row r="3" spans="1:10" ht="15" x14ac:dyDescent="0.2">
      <c r="A3" s="1">
        <v>1</v>
      </c>
      <c r="B3" s="3">
        <f ca="1">RAND()</f>
        <v>0.34533438740141431</v>
      </c>
      <c r="C3" s="3">
        <f ca="1">_xlfn.NORM.INV(B3,$I$3,$J$3)</f>
        <v>28.806157049952677</v>
      </c>
      <c r="D3" s="2">
        <f ca="1">ROUND(_xlfn.NORM.INV(B3,$I$3,$J$3),0)</f>
        <v>29</v>
      </c>
      <c r="F3">
        <v>20</v>
      </c>
      <c r="G3">
        <f ca="1">COUNTIF($D$3:$D$52,F3)</f>
        <v>0</v>
      </c>
      <c r="I3" s="9">
        <v>30</v>
      </c>
      <c r="J3" s="7">
        <v>3</v>
      </c>
    </row>
    <row r="4" spans="1:10" ht="15" x14ac:dyDescent="0.2">
      <c r="A4" s="1">
        <v>2</v>
      </c>
      <c r="B4" s="3">
        <f t="shared" ref="B4:B52" ca="1" si="0">RAND()</f>
        <v>0.83877695621566495</v>
      </c>
      <c r="C4" s="3">
        <f t="shared" ref="C4:C52" ca="1" si="1">_xlfn.NORM.INV(B4,$I$3,$J$3)</f>
        <v>32.968331192212801</v>
      </c>
      <c r="D4" s="2">
        <f t="shared" ref="D4:D52" ca="1" si="2">ROUND(_xlfn.NORM.INV(B4,$I$3,$J$3),0)</f>
        <v>33</v>
      </c>
      <c r="F4">
        <v>21</v>
      </c>
      <c r="G4">
        <f t="shared" ref="G4:G23" ca="1" si="3">COUNTIF($D$3:$D$52,F4)</f>
        <v>0</v>
      </c>
      <c r="I4" s="9"/>
      <c r="J4" s="7"/>
    </row>
    <row r="5" spans="1:10" ht="15" x14ac:dyDescent="0.2">
      <c r="A5" s="1">
        <v>3</v>
      </c>
      <c r="B5" s="3">
        <f t="shared" ca="1" si="0"/>
        <v>0.67600519307696294</v>
      </c>
      <c r="C5" s="3">
        <f t="shared" ca="1" si="1"/>
        <v>31.369670492385595</v>
      </c>
      <c r="D5" s="2">
        <f t="shared" ca="1" si="2"/>
        <v>31</v>
      </c>
      <c r="F5">
        <v>22</v>
      </c>
      <c r="G5">
        <f t="shared" ca="1" si="3"/>
        <v>1</v>
      </c>
      <c r="I5" s="8"/>
      <c r="J5" s="7"/>
    </row>
    <row r="6" spans="1:10" ht="15.75" thickBot="1" x14ac:dyDescent="0.25">
      <c r="A6" s="1">
        <v>4</v>
      </c>
      <c r="B6" s="3">
        <f t="shared" ca="1" si="0"/>
        <v>0.19311652042408245</v>
      </c>
      <c r="C6" s="3">
        <f t="shared" ca="1" si="1"/>
        <v>27.400593117855671</v>
      </c>
      <c r="D6" s="2">
        <f t="shared" ca="1" si="2"/>
        <v>27</v>
      </c>
      <c r="F6">
        <v>23</v>
      </c>
      <c r="G6">
        <f t="shared" ca="1" si="3"/>
        <v>0</v>
      </c>
      <c r="I6" s="5"/>
      <c r="J6" s="4"/>
    </row>
    <row r="7" spans="1:10" ht="15" x14ac:dyDescent="0.2">
      <c r="A7" s="1">
        <v>5</v>
      </c>
      <c r="B7" s="3">
        <f t="shared" ca="1" si="0"/>
        <v>0.74518726841500016</v>
      </c>
      <c r="C7" s="3">
        <f t="shared" ca="1" si="1"/>
        <v>31.978262988035667</v>
      </c>
      <c r="D7" s="2">
        <f t="shared" ca="1" si="2"/>
        <v>32</v>
      </c>
      <c r="F7">
        <v>24</v>
      </c>
      <c r="G7">
        <f t="shared" ca="1" si="3"/>
        <v>0</v>
      </c>
    </row>
    <row r="8" spans="1:10" ht="15" x14ac:dyDescent="0.2">
      <c r="A8" s="1">
        <v>6</v>
      </c>
      <c r="B8" s="3">
        <f t="shared" ca="1" si="0"/>
        <v>0.78482375570621454</v>
      </c>
      <c r="C8" s="3">
        <f t="shared" ca="1" si="1"/>
        <v>32.365765838163504</v>
      </c>
      <c r="D8" s="2">
        <f t="shared" ca="1" si="2"/>
        <v>32</v>
      </c>
      <c r="F8">
        <v>25</v>
      </c>
      <c r="G8">
        <f t="shared" ca="1" si="3"/>
        <v>3</v>
      </c>
    </row>
    <row r="9" spans="1:10" ht="15" x14ac:dyDescent="0.2">
      <c r="A9" s="1">
        <v>7</v>
      </c>
      <c r="B9" s="3">
        <f t="shared" ca="1" si="0"/>
        <v>0.61867729177562347</v>
      </c>
      <c r="C9" s="3">
        <f t="shared" ca="1" si="1"/>
        <v>30.906026156498005</v>
      </c>
      <c r="D9" s="2">
        <f t="shared" ca="1" si="2"/>
        <v>31</v>
      </c>
      <c r="F9">
        <v>26</v>
      </c>
      <c r="G9">
        <f t="shared" ca="1" si="3"/>
        <v>3</v>
      </c>
    </row>
    <row r="10" spans="1:10" ht="15" x14ac:dyDescent="0.2">
      <c r="A10" s="1">
        <v>8</v>
      </c>
      <c r="B10" s="3">
        <f t="shared" ca="1" si="0"/>
        <v>0.28652697303921082</v>
      </c>
      <c r="C10" s="3">
        <f t="shared" ca="1" si="1"/>
        <v>28.309321456112908</v>
      </c>
      <c r="D10" s="2">
        <f t="shared" ca="1" si="2"/>
        <v>28</v>
      </c>
      <c r="F10">
        <v>27</v>
      </c>
      <c r="G10">
        <f t="shared" ca="1" si="3"/>
        <v>4</v>
      </c>
    </row>
    <row r="11" spans="1:10" ht="15" x14ac:dyDescent="0.2">
      <c r="A11" s="1">
        <v>9</v>
      </c>
      <c r="B11" s="3">
        <f t="shared" ca="1" si="0"/>
        <v>0.50303662513204939</v>
      </c>
      <c r="C11" s="3">
        <f t="shared" ca="1" si="1"/>
        <v>30.022835291753239</v>
      </c>
      <c r="D11" s="2">
        <f t="shared" ca="1" si="2"/>
        <v>30</v>
      </c>
      <c r="F11">
        <v>28</v>
      </c>
      <c r="G11">
        <f t="shared" ca="1" si="3"/>
        <v>3</v>
      </c>
    </row>
    <row r="12" spans="1:10" ht="15" x14ac:dyDescent="0.2">
      <c r="A12" s="1">
        <v>10</v>
      </c>
      <c r="B12" s="3">
        <f t="shared" ca="1" si="0"/>
        <v>0.16137106574034354</v>
      </c>
      <c r="C12" s="3">
        <f t="shared" ca="1" si="1"/>
        <v>27.033484299348146</v>
      </c>
      <c r="D12" s="2">
        <f t="shared" ca="1" si="2"/>
        <v>27</v>
      </c>
      <c r="F12">
        <v>29</v>
      </c>
      <c r="G12">
        <f t="shared" ca="1" si="3"/>
        <v>6</v>
      </c>
    </row>
    <row r="13" spans="1:10" ht="15" x14ac:dyDescent="0.2">
      <c r="A13" s="1">
        <v>11</v>
      </c>
      <c r="B13" s="3">
        <f t="shared" ca="1" si="0"/>
        <v>0.76203493323359361</v>
      </c>
      <c r="C13" s="3">
        <f t="shared" ca="1" si="1"/>
        <v>32.138590954156776</v>
      </c>
      <c r="D13" s="2">
        <f t="shared" ca="1" si="2"/>
        <v>32</v>
      </c>
      <c r="F13">
        <v>30</v>
      </c>
      <c r="G13">
        <f t="shared" ca="1" si="3"/>
        <v>8</v>
      </c>
    </row>
    <row r="14" spans="1:10" ht="15" x14ac:dyDescent="0.2">
      <c r="A14" s="1">
        <v>12</v>
      </c>
      <c r="B14" s="3">
        <f t="shared" ca="1" si="0"/>
        <v>5.3395299771712423E-2</v>
      </c>
      <c r="C14" s="3">
        <f t="shared" ca="1" si="1"/>
        <v>25.161636351539364</v>
      </c>
      <c r="D14" s="2">
        <f t="shared" ca="1" si="2"/>
        <v>25</v>
      </c>
      <c r="F14">
        <v>31</v>
      </c>
      <c r="G14">
        <f t="shared" ca="1" si="3"/>
        <v>10</v>
      </c>
    </row>
    <row r="15" spans="1:10" ht="15" x14ac:dyDescent="0.2">
      <c r="A15" s="1">
        <v>13</v>
      </c>
      <c r="B15" s="3">
        <f t="shared" ca="1" si="0"/>
        <v>9.6413976887683828E-2</v>
      </c>
      <c r="C15" s="3">
        <f t="shared" ca="1" si="1"/>
        <v>26.093223803243923</v>
      </c>
      <c r="D15" s="2">
        <f t="shared" ca="1" si="2"/>
        <v>26</v>
      </c>
      <c r="F15">
        <v>32</v>
      </c>
      <c r="G15">
        <f t="shared" ca="1" si="3"/>
        <v>5</v>
      </c>
    </row>
    <row r="16" spans="1:10" ht="15" x14ac:dyDescent="0.2">
      <c r="A16" s="1">
        <v>14</v>
      </c>
      <c r="B16" s="3">
        <f t="shared" ca="1" si="0"/>
        <v>0.3175495172733811</v>
      </c>
      <c r="C16" s="3">
        <f t="shared" ca="1" si="1"/>
        <v>28.576313317593318</v>
      </c>
      <c r="D16" s="2">
        <f t="shared" ca="1" si="2"/>
        <v>29</v>
      </c>
      <c r="F16">
        <v>33</v>
      </c>
      <c r="G16">
        <f t="shared" ca="1" si="3"/>
        <v>4</v>
      </c>
    </row>
    <row r="17" spans="1:7" ht="15" x14ac:dyDescent="0.2">
      <c r="A17" s="1">
        <v>15</v>
      </c>
      <c r="B17" s="3">
        <f t="shared" ca="1" si="0"/>
        <v>0.84396933300522592</v>
      </c>
      <c r="C17" s="3">
        <f t="shared" ca="1" si="1"/>
        <v>33.032718551918613</v>
      </c>
      <c r="D17" s="2">
        <f t="shared" ca="1" si="2"/>
        <v>33</v>
      </c>
      <c r="F17">
        <v>34</v>
      </c>
      <c r="G17">
        <f t="shared" ca="1" si="3"/>
        <v>2</v>
      </c>
    </row>
    <row r="18" spans="1:7" ht="15" x14ac:dyDescent="0.2">
      <c r="A18" s="1">
        <v>16</v>
      </c>
      <c r="B18" s="3">
        <f t="shared" ca="1" si="0"/>
        <v>0.2197995061732142</v>
      </c>
      <c r="C18" s="3">
        <f t="shared" ca="1" si="1"/>
        <v>27.681388436230577</v>
      </c>
      <c r="D18" s="2">
        <f t="shared" ca="1" si="2"/>
        <v>28</v>
      </c>
      <c r="F18">
        <v>35</v>
      </c>
      <c r="G18">
        <f t="shared" ca="1" si="3"/>
        <v>1</v>
      </c>
    </row>
    <row r="19" spans="1:7" ht="15" x14ac:dyDescent="0.2">
      <c r="A19" s="1">
        <v>17</v>
      </c>
      <c r="B19" s="3">
        <f t="shared" ca="1" si="0"/>
        <v>0.94037670692203934</v>
      </c>
      <c r="C19" s="3">
        <f t="shared" ca="1" si="1"/>
        <v>34.67383120897842</v>
      </c>
      <c r="D19" s="2">
        <f t="shared" ca="1" si="2"/>
        <v>35</v>
      </c>
      <c r="F19">
        <v>36</v>
      </c>
      <c r="G19">
        <f t="shared" ca="1" si="3"/>
        <v>0</v>
      </c>
    </row>
    <row r="20" spans="1:7" ht="15" x14ac:dyDescent="0.2">
      <c r="A20" s="1">
        <v>18</v>
      </c>
      <c r="B20" s="3">
        <f t="shared" ca="1" si="0"/>
        <v>0.92753249424200657</v>
      </c>
      <c r="C20" s="3">
        <f t="shared" ca="1" si="1"/>
        <v>34.372972070041868</v>
      </c>
      <c r="D20" s="2">
        <f t="shared" ca="1" si="2"/>
        <v>34</v>
      </c>
      <c r="F20">
        <v>37</v>
      </c>
      <c r="G20">
        <f t="shared" ca="1" si="3"/>
        <v>0</v>
      </c>
    </row>
    <row r="21" spans="1:7" ht="15" x14ac:dyDescent="0.2">
      <c r="A21" s="1">
        <v>19</v>
      </c>
      <c r="B21" s="3">
        <f t="shared" ca="1" si="0"/>
        <v>0.93084330684387517</v>
      </c>
      <c r="C21" s="3">
        <f t="shared" ca="1" si="1"/>
        <v>34.446303411038372</v>
      </c>
      <c r="D21" s="2">
        <f t="shared" ca="1" si="2"/>
        <v>34</v>
      </c>
      <c r="F21">
        <v>38</v>
      </c>
      <c r="G21">
        <f t="shared" ca="1" si="3"/>
        <v>0</v>
      </c>
    </row>
    <row r="22" spans="1:7" ht="15" x14ac:dyDescent="0.2">
      <c r="A22" s="1">
        <v>20</v>
      </c>
      <c r="B22" s="3">
        <f t="shared" ca="1" si="0"/>
        <v>0.57108281239144054</v>
      </c>
      <c r="C22" s="3">
        <f t="shared" ca="1" si="1"/>
        <v>30.537394780364355</v>
      </c>
      <c r="D22" s="2">
        <f t="shared" ca="1" si="2"/>
        <v>31</v>
      </c>
      <c r="F22">
        <v>39</v>
      </c>
      <c r="G22">
        <f t="shared" ca="1" si="3"/>
        <v>0</v>
      </c>
    </row>
    <row r="23" spans="1:7" ht="15" x14ac:dyDescent="0.2">
      <c r="A23" s="1">
        <v>21</v>
      </c>
      <c r="B23" s="3">
        <f t="shared" ca="1" si="0"/>
        <v>0.38390114645536211</v>
      </c>
      <c r="C23" s="3">
        <f t="shared" ca="1" si="1"/>
        <v>29.114247580438352</v>
      </c>
      <c r="D23" s="2">
        <f t="shared" ca="1" si="2"/>
        <v>29</v>
      </c>
      <c r="F23">
        <v>40</v>
      </c>
      <c r="G23">
        <f t="shared" ca="1" si="3"/>
        <v>0</v>
      </c>
    </row>
    <row r="24" spans="1:7" ht="15" x14ac:dyDescent="0.2">
      <c r="A24" s="1">
        <v>22</v>
      </c>
      <c r="B24" s="3">
        <f t="shared" ca="1" si="0"/>
        <v>0.17594656829408384</v>
      </c>
      <c r="C24" s="3">
        <f t="shared" ca="1" si="1"/>
        <v>27.207229494934651</v>
      </c>
      <c r="D24" s="2">
        <f t="shared" ca="1" si="2"/>
        <v>27</v>
      </c>
    </row>
    <row r="25" spans="1:7" ht="15" x14ac:dyDescent="0.2">
      <c r="A25" s="1">
        <v>23</v>
      </c>
      <c r="B25" s="3">
        <f t="shared" ca="1" si="0"/>
        <v>0.64816125702419514</v>
      </c>
      <c r="C25" s="3">
        <f t="shared" ca="1" si="1"/>
        <v>31.141082896865903</v>
      </c>
      <c r="D25" s="2">
        <f t="shared" ca="1" si="2"/>
        <v>31</v>
      </c>
    </row>
    <row r="26" spans="1:7" ht="15" x14ac:dyDescent="0.2">
      <c r="A26" s="1">
        <v>24</v>
      </c>
      <c r="B26" s="3">
        <f t="shared" ca="1" si="0"/>
        <v>0.86178018145514212</v>
      </c>
      <c r="C26" s="3">
        <f t="shared" ca="1" si="1"/>
        <v>33.265056717747946</v>
      </c>
      <c r="D26" s="2">
        <f t="shared" ca="1" si="2"/>
        <v>33</v>
      </c>
    </row>
    <row r="27" spans="1:7" ht="15" x14ac:dyDescent="0.2">
      <c r="A27" s="1">
        <v>25</v>
      </c>
      <c r="B27" s="3">
        <f t="shared" ca="1" si="0"/>
        <v>0.52800179107562539</v>
      </c>
      <c r="C27" s="3">
        <f t="shared" ca="1" si="1"/>
        <v>30.210743443419389</v>
      </c>
      <c r="D27" s="2">
        <f t="shared" ca="1" si="2"/>
        <v>30</v>
      </c>
    </row>
    <row r="28" spans="1:7" ht="15" x14ac:dyDescent="0.2">
      <c r="A28" s="1">
        <v>26</v>
      </c>
      <c r="B28" s="3">
        <f t="shared" ca="1" si="0"/>
        <v>0.72133007942148497</v>
      </c>
      <c r="C28" s="3">
        <f t="shared" ca="1" si="1"/>
        <v>31.760391941195032</v>
      </c>
      <c r="D28" s="2">
        <f t="shared" ca="1" si="2"/>
        <v>32</v>
      </c>
    </row>
    <row r="29" spans="1:7" ht="15" x14ac:dyDescent="0.2">
      <c r="A29" s="1">
        <v>27</v>
      </c>
      <c r="B29" s="3">
        <f t="shared" ca="1" si="0"/>
        <v>0.58681272508918048</v>
      </c>
      <c r="C29" s="3">
        <f t="shared" ca="1" si="1"/>
        <v>30.658061038111992</v>
      </c>
      <c r="D29" s="2">
        <f t="shared" ca="1" si="2"/>
        <v>31</v>
      </c>
    </row>
    <row r="30" spans="1:7" ht="15" x14ac:dyDescent="0.2">
      <c r="A30" s="1">
        <v>28</v>
      </c>
      <c r="B30" s="3">
        <f t="shared" ca="1" si="0"/>
        <v>3.658310161818723E-2</v>
      </c>
      <c r="C30" s="3">
        <f t="shared" ca="1" si="1"/>
        <v>24.624622360978776</v>
      </c>
      <c r="D30" s="2">
        <f t="shared" ca="1" si="2"/>
        <v>25</v>
      </c>
    </row>
    <row r="31" spans="1:7" ht="15" x14ac:dyDescent="0.2">
      <c r="A31" s="1">
        <v>29</v>
      </c>
      <c r="B31" s="3">
        <f t="shared" ca="1" si="0"/>
        <v>0.20970207320198941</v>
      </c>
      <c r="C31" s="3">
        <f t="shared" ca="1" si="1"/>
        <v>27.577633728320276</v>
      </c>
      <c r="D31" s="2">
        <f t="shared" ca="1" si="2"/>
        <v>28</v>
      </c>
    </row>
    <row r="32" spans="1:7" ht="15" x14ac:dyDescent="0.2">
      <c r="A32" s="1">
        <v>30</v>
      </c>
      <c r="B32" s="3">
        <f t="shared" ca="1" si="0"/>
        <v>0.68977092648842664</v>
      </c>
      <c r="C32" s="3">
        <f t="shared" ca="1" si="1"/>
        <v>31.485603415642359</v>
      </c>
      <c r="D32" s="2">
        <f t="shared" ca="1" si="2"/>
        <v>31</v>
      </c>
    </row>
    <row r="33" spans="1:4" ht="15" x14ac:dyDescent="0.2">
      <c r="A33" s="1">
        <v>31</v>
      </c>
      <c r="B33" s="3">
        <f t="shared" ca="1" si="0"/>
        <v>0.19267061517595874</v>
      </c>
      <c r="C33" s="3">
        <f t="shared" ca="1" si="1"/>
        <v>27.395708984122049</v>
      </c>
      <c r="D33" s="2">
        <f t="shared" ca="1" si="2"/>
        <v>27</v>
      </c>
    </row>
    <row r="34" spans="1:4" ht="15" x14ac:dyDescent="0.2">
      <c r="A34" s="1">
        <v>32</v>
      </c>
      <c r="B34" s="3">
        <f t="shared" ca="1" si="0"/>
        <v>0.66006833422647571</v>
      </c>
      <c r="C34" s="3">
        <f t="shared" ca="1" si="1"/>
        <v>31.237948899200969</v>
      </c>
      <c r="D34" s="2">
        <f t="shared" ca="1" si="2"/>
        <v>31</v>
      </c>
    </row>
    <row r="35" spans="1:4" ht="15" x14ac:dyDescent="0.2">
      <c r="A35" s="1">
        <v>33</v>
      </c>
      <c r="B35" s="3">
        <f t="shared" ca="1" si="0"/>
        <v>0.68684636678142719</v>
      </c>
      <c r="C35" s="3">
        <f t="shared" ca="1" si="1"/>
        <v>31.460792843566743</v>
      </c>
      <c r="D35" s="2">
        <f t="shared" ca="1" si="2"/>
        <v>31</v>
      </c>
    </row>
    <row r="36" spans="1:4" ht="15" x14ac:dyDescent="0.2">
      <c r="A36" s="1">
        <v>34</v>
      </c>
      <c r="B36" s="3">
        <f t="shared" ca="1" si="0"/>
        <v>0.75560048879489494</v>
      </c>
      <c r="C36" s="3">
        <f t="shared" ca="1" si="1"/>
        <v>32.076660756025426</v>
      </c>
      <c r="D36" s="2">
        <f t="shared" ca="1" si="2"/>
        <v>32</v>
      </c>
    </row>
    <row r="37" spans="1:4" ht="15" x14ac:dyDescent="0.2">
      <c r="A37" s="1">
        <v>35</v>
      </c>
      <c r="B37" s="3">
        <f t="shared" ca="1" si="0"/>
        <v>0.56084370137650763</v>
      </c>
      <c r="C37" s="3">
        <f t="shared" ca="1" si="1"/>
        <v>30.459325939911782</v>
      </c>
      <c r="D37" s="2">
        <f t="shared" ca="1" si="2"/>
        <v>30</v>
      </c>
    </row>
    <row r="38" spans="1:4" ht="15" x14ac:dyDescent="0.2">
      <c r="A38" s="1">
        <v>36</v>
      </c>
      <c r="B38" s="3">
        <f t="shared" ca="1" si="0"/>
        <v>0.47229929700312068</v>
      </c>
      <c r="C38" s="3">
        <f t="shared" ca="1" si="1"/>
        <v>29.791526237562259</v>
      </c>
      <c r="D38" s="2">
        <f t="shared" ca="1" si="2"/>
        <v>30</v>
      </c>
    </row>
    <row r="39" spans="1:4" ht="15" x14ac:dyDescent="0.2">
      <c r="A39" s="1">
        <v>37</v>
      </c>
      <c r="B39" s="3">
        <f t="shared" ca="1" si="0"/>
        <v>0.55704222662023051</v>
      </c>
      <c r="C39" s="3">
        <f t="shared" ca="1" si="1"/>
        <v>30.430423128367387</v>
      </c>
      <c r="D39" s="2">
        <f t="shared" ca="1" si="2"/>
        <v>30</v>
      </c>
    </row>
    <row r="40" spans="1:4" ht="15" x14ac:dyDescent="0.2">
      <c r="A40" s="1">
        <v>38</v>
      </c>
      <c r="B40" s="3">
        <f t="shared" ca="1" si="0"/>
        <v>8.9410059285301324E-2</v>
      </c>
      <c r="C40" s="3">
        <f t="shared" ca="1" si="1"/>
        <v>25.966809697567161</v>
      </c>
      <c r="D40" s="2">
        <f t="shared" ca="1" si="2"/>
        <v>26</v>
      </c>
    </row>
    <row r="41" spans="1:4" ht="15" x14ac:dyDescent="0.2">
      <c r="A41" s="1">
        <v>39</v>
      </c>
      <c r="B41" s="3">
        <f t="shared" ca="1" si="0"/>
        <v>3.4835831422810326E-3</v>
      </c>
      <c r="C41" s="3">
        <f t="shared" ca="1" si="1"/>
        <v>21.90477127357201</v>
      </c>
      <c r="D41" s="2">
        <f t="shared" ca="1" si="2"/>
        <v>22</v>
      </c>
    </row>
    <row r="42" spans="1:4" ht="15" x14ac:dyDescent="0.2">
      <c r="A42" s="1">
        <v>40</v>
      </c>
      <c r="B42" s="3">
        <f t="shared" ca="1" si="0"/>
        <v>0.66827044527213075</v>
      </c>
      <c r="C42" s="3">
        <f t="shared" ca="1" si="1"/>
        <v>31.305427031825708</v>
      </c>
      <c r="D42" s="2">
        <f t="shared" ca="1" si="2"/>
        <v>31</v>
      </c>
    </row>
    <row r="43" spans="1:4" ht="15" x14ac:dyDescent="0.2">
      <c r="A43" s="1">
        <v>41</v>
      </c>
      <c r="B43" s="3">
        <f t="shared" ca="1" si="0"/>
        <v>0.39491419608294909</v>
      </c>
      <c r="C43" s="3">
        <f t="shared" ca="1" si="1"/>
        <v>29.200399613967441</v>
      </c>
      <c r="D43" s="2">
        <f t="shared" ca="1" si="2"/>
        <v>29</v>
      </c>
    </row>
    <row r="44" spans="1:4" ht="15" x14ac:dyDescent="0.2">
      <c r="A44" s="1">
        <v>42</v>
      </c>
      <c r="B44" s="3">
        <f t="shared" ca="1" si="0"/>
        <v>0.10416051252970759</v>
      </c>
      <c r="C44" s="3">
        <f t="shared" ca="1" si="1"/>
        <v>26.225413193396474</v>
      </c>
      <c r="D44" s="2">
        <f t="shared" ca="1" si="2"/>
        <v>26</v>
      </c>
    </row>
    <row r="45" spans="1:4" ht="15" x14ac:dyDescent="0.2">
      <c r="A45" s="1">
        <v>43</v>
      </c>
      <c r="B45" s="3">
        <f t="shared" ca="1" si="0"/>
        <v>0.85718648520372687</v>
      </c>
      <c r="C45" s="3">
        <f t="shared" ca="1" si="1"/>
        <v>33.203291675981653</v>
      </c>
      <c r="D45" s="2">
        <f t="shared" ca="1" si="2"/>
        <v>33</v>
      </c>
    </row>
    <row r="46" spans="1:4" ht="15" x14ac:dyDescent="0.2">
      <c r="A46" s="1">
        <v>44</v>
      </c>
      <c r="B46" s="3">
        <f t="shared" ca="1" si="0"/>
        <v>0.34162132549660629</v>
      </c>
      <c r="C46" s="3">
        <f t="shared" ca="1" si="1"/>
        <v>28.775873226450084</v>
      </c>
      <c r="D46" s="2">
        <f t="shared" ca="1" si="2"/>
        <v>29</v>
      </c>
    </row>
    <row r="47" spans="1:4" ht="15" x14ac:dyDescent="0.2">
      <c r="A47" s="1">
        <v>45</v>
      </c>
      <c r="B47" s="3">
        <f t="shared" ca="1" si="0"/>
        <v>0.68562394027184737</v>
      </c>
      <c r="C47" s="3">
        <f t="shared" ca="1" si="1"/>
        <v>31.45045199252105</v>
      </c>
      <c r="D47" s="2">
        <f t="shared" ca="1" si="2"/>
        <v>31</v>
      </c>
    </row>
    <row r="48" spans="1:4" ht="15" x14ac:dyDescent="0.2">
      <c r="A48" s="1">
        <v>46</v>
      </c>
      <c r="B48" s="3">
        <f t="shared" ca="1" si="0"/>
        <v>0.52796868730725766</v>
      </c>
      <c r="C48" s="3">
        <f t="shared" ca="1" si="1"/>
        <v>30.210493892644045</v>
      </c>
      <c r="D48" s="2">
        <f t="shared" ca="1" si="2"/>
        <v>30</v>
      </c>
    </row>
    <row r="49" spans="1:4" ht="15" x14ac:dyDescent="0.2">
      <c r="A49" s="1">
        <v>47</v>
      </c>
      <c r="B49" s="3">
        <f t="shared" ca="1" si="0"/>
        <v>0.52142897411984324</v>
      </c>
      <c r="C49" s="3">
        <f t="shared" ca="1" si="1"/>
        <v>30.161220985319275</v>
      </c>
      <c r="D49" s="2">
        <f t="shared" ca="1" si="2"/>
        <v>30</v>
      </c>
    </row>
    <row r="50" spans="1:4" ht="15" x14ac:dyDescent="0.2">
      <c r="A50" s="1">
        <v>48</v>
      </c>
      <c r="B50" s="3">
        <f t="shared" ca="1" si="0"/>
        <v>0.39598366936591944</v>
      </c>
      <c r="C50" s="3">
        <f t="shared" ca="1" si="1"/>
        <v>29.208729654789146</v>
      </c>
      <c r="D50" s="2">
        <f t="shared" ca="1" si="2"/>
        <v>29</v>
      </c>
    </row>
    <row r="51" spans="1:4" ht="15" x14ac:dyDescent="0.2">
      <c r="A51" s="1">
        <v>49</v>
      </c>
      <c r="B51" s="3">
        <f t="shared" ca="1" si="0"/>
        <v>0.44743665114744191</v>
      </c>
      <c r="C51" s="3">
        <f t="shared" ca="1" si="1"/>
        <v>29.603579030622711</v>
      </c>
      <c r="D51" s="2">
        <f t="shared" ca="1" si="2"/>
        <v>30</v>
      </c>
    </row>
    <row r="52" spans="1:4" ht="15" x14ac:dyDescent="0.2">
      <c r="A52" s="1">
        <v>50</v>
      </c>
      <c r="B52" s="3">
        <f t="shared" ca="1" si="0"/>
        <v>6.2647239288027734E-2</v>
      </c>
      <c r="C52" s="3">
        <f t="shared" ca="1" si="1"/>
        <v>25.401226744390065</v>
      </c>
      <c r="D52" s="2">
        <f t="shared" ca="1" si="2"/>
        <v>25</v>
      </c>
    </row>
  </sheetData>
  <mergeCells count="1">
    <mergeCell ref="I1:J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02"/>
  <sheetViews>
    <sheetView zoomScale="110" zoomScaleNormal="110" workbookViewId="0">
      <selection activeCell="H29" sqref="H29"/>
    </sheetView>
  </sheetViews>
  <sheetFormatPr defaultRowHeight="12.75" x14ac:dyDescent="0.2"/>
  <cols>
    <col min="1" max="1" width="12.7109375" customWidth="1"/>
    <col min="2" max="3" width="18.42578125" customWidth="1"/>
    <col min="4" max="4" width="16.5703125" customWidth="1"/>
    <col min="6" max="6" width="17.5703125" customWidth="1"/>
    <col min="10" max="10" width="18.28515625" customWidth="1"/>
  </cols>
  <sheetData>
    <row r="1" spans="1:10" ht="15.75" thickBot="1" x14ac:dyDescent="0.25">
      <c r="A1" s="21" t="s">
        <v>0</v>
      </c>
      <c r="B1" s="2"/>
      <c r="C1" s="2" t="s">
        <v>13</v>
      </c>
      <c r="D1" s="2"/>
      <c r="I1" s="23" t="s">
        <v>15</v>
      </c>
      <c r="J1" s="23"/>
    </row>
    <row r="2" spans="1:10" ht="15" x14ac:dyDescent="0.2">
      <c r="A2" s="1" t="s">
        <v>1</v>
      </c>
      <c r="B2" s="14" t="s">
        <v>2</v>
      </c>
      <c r="C2" s="14" t="s">
        <v>12</v>
      </c>
      <c r="D2" s="6" t="s">
        <v>14</v>
      </c>
      <c r="F2" s="18" t="s">
        <v>14</v>
      </c>
      <c r="G2" s="18" t="s">
        <v>10</v>
      </c>
      <c r="I2" s="12" t="s">
        <v>7</v>
      </c>
      <c r="J2" s="11" t="s">
        <v>8</v>
      </c>
    </row>
    <row r="3" spans="1:10" ht="15" x14ac:dyDescent="0.2">
      <c r="A3" s="1">
        <v>1</v>
      </c>
      <c r="B3" s="3">
        <f ca="1">RAND()</f>
        <v>0.98767405347274706</v>
      </c>
      <c r="C3" s="3">
        <f ca="1">_xlfn.NORM.INV(B3,$I$3,$J$3)</f>
        <v>36.740443107607426</v>
      </c>
      <c r="D3" s="2">
        <f ca="1">ROUND(_xlfn.NORM.INV(B3,$I$3,$J$3),0)</f>
        <v>37</v>
      </c>
      <c r="F3">
        <v>20</v>
      </c>
      <c r="G3">
        <f ca="1">COUNTIF($D$3:$D$502,F3)</f>
        <v>0</v>
      </c>
      <c r="I3" s="9">
        <v>30</v>
      </c>
      <c r="J3" s="7">
        <v>3</v>
      </c>
    </row>
    <row r="4" spans="1:10" ht="15" x14ac:dyDescent="0.2">
      <c r="A4" s="1">
        <v>2</v>
      </c>
      <c r="B4" s="3">
        <f t="shared" ref="B4:B67" ca="1" si="0">RAND()</f>
        <v>0.55172123208214285</v>
      </c>
      <c r="C4" s="3">
        <f t="shared" ref="C4:C52" ca="1" si="1">_xlfn.NORM.INV(B4,$I$3,$J$3)</f>
        <v>30.390033712800786</v>
      </c>
      <c r="D4" s="2">
        <f t="shared" ref="D4:D52" ca="1" si="2">ROUND(_xlfn.NORM.INV(B4,$I$3,$J$3),0)</f>
        <v>30</v>
      </c>
      <c r="F4">
        <v>21</v>
      </c>
      <c r="G4">
        <f t="shared" ref="G4:G23" ca="1" si="3">COUNTIF($D$3:$D$502,F4)</f>
        <v>0</v>
      </c>
      <c r="I4" s="9"/>
      <c r="J4" s="7"/>
    </row>
    <row r="5" spans="1:10" ht="15" x14ac:dyDescent="0.2">
      <c r="A5" s="1">
        <v>3</v>
      </c>
      <c r="B5" s="3">
        <f t="shared" ca="1" si="0"/>
        <v>0.78241582038457658</v>
      </c>
      <c r="C5" s="3">
        <f t="shared" ca="1" si="1"/>
        <v>32.341134276021272</v>
      </c>
      <c r="D5" s="2">
        <f t="shared" ca="1" si="2"/>
        <v>32</v>
      </c>
      <c r="F5">
        <v>22</v>
      </c>
      <c r="G5">
        <f t="shared" ca="1" si="3"/>
        <v>4</v>
      </c>
      <c r="I5" s="8"/>
      <c r="J5" s="7"/>
    </row>
    <row r="6" spans="1:10" ht="15.75" thickBot="1" x14ac:dyDescent="0.25">
      <c r="A6" s="1">
        <v>4</v>
      </c>
      <c r="B6" s="3">
        <f t="shared" ca="1" si="0"/>
        <v>0.6017179540901646</v>
      </c>
      <c r="C6" s="3">
        <f t="shared" ca="1" si="1"/>
        <v>30.773389010206142</v>
      </c>
      <c r="D6" s="2">
        <f t="shared" ca="1" si="2"/>
        <v>31</v>
      </c>
      <c r="F6">
        <v>23</v>
      </c>
      <c r="G6">
        <f t="shared" ca="1" si="3"/>
        <v>4</v>
      </c>
      <c r="I6" s="5"/>
      <c r="J6" s="4"/>
    </row>
    <row r="7" spans="1:10" ht="15" x14ac:dyDescent="0.2">
      <c r="A7" s="1">
        <v>5</v>
      </c>
      <c r="B7" s="3">
        <f t="shared" ca="1" si="0"/>
        <v>0.86894432901618412</v>
      </c>
      <c r="C7" s="3">
        <f t="shared" ca="1" si="1"/>
        <v>33.364244380818107</v>
      </c>
      <c r="D7" s="2">
        <f t="shared" ca="1" si="2"/>
        <v>33</v>
      </c>
      <c r="F7">
        <v>24</v>
      </c>
      <c r="G7">
        <f t="shared" ca="1" si="3"/>
        <v>13</v>
      </c>
    </row>
    <row r="8" spans="1:10" ht="15" x14ac:dyDescent="0.2">
      <c r="A8" s="1">
        <v>6</v>
      </c>
      <c r="B8" s="3">
        <f t="shared" ca="1" si="0"/>
        <v>7.9224853279918905E-2</v>
      </c>
      <c r="C8" s="3">
        <f t="shared" ca="1" si="1"/>
        <v>25.769085648248531</v>
      </c>
      <c r="D8" s="2">
        <f t="shared" ca="1" si="2"/>
        <v>26</v>
      </c>
      <c r="F8">
        <v>25</v>
      </c>
      <c r="G8">
        <f t="shared" ca="1" si="3"/>
        <v>14</v>
      </c>
    </row>
    <row r="9" spans="1:10" ht="15" x14ac:dyDescent="0.2">
      <c r="A9" s="1">
        <v>7</v>
      </c>
      <c r="B9" s="3">
        <f t="shared" ca="1" si="0"/>
        <v>0.84848442517693434</v>
      </c>
      <c r="C9" s="3">
        <f t="shared" ca="1" si="1"/>
        <v>33.089864876401109</v>
      </c>
      <c r="D9" s="2">
        <f t="shared" ca="1" si="2"/>
        <v>33</v>
      </c>
      <c r="F9">
        <v>26</v>
      </c>
      <c r="G9">
        <f t="shared" ca="1" si="3"/>
        <v>37</v>
      </c>
    </row>
    <row r="10" spans="1:10" ht="15" x14ac:dyDescent="0.2">
      <c r="A10" s="1">
        <v>8</v>
      </c>
      <c r="B10" s="3">
        <f t="shared" ca="1" si="0"/>
        <v>0.91765113683845401</v>
      </c>
      <c r="C10" s="3">
        <f t="shared" ca="1" si="1"/>
        <v>34.168332514635914</v>
      </c>
      <c r="D10" s="2">
        <f t="shared" ca="1" si="2"/>
        <v>34</v>
      </c>
      <c r="F10">
        <v>27</v>
      </c>
      <c r="G10">
        <f t="shared" ca="1" si="3"/>
        <v>43</v>
      </c>
    </row>
    <row r="11" spans="1:10" ht="15" x14ac:dyDescent="0.2">
      <c r="A11" s="1">
        <v>9</v>
      </c>
      <c r="B11" s="3">
        <f t="shared" ca="1" si="0"/>
        <v>0.38728811231936977</v>
      </c>
      <c r="C11" s="3">
        <f t="shared" ca="1" si="1"/>
        <v>29.14081743196278</v>
      </c>
      <c r="D11" s="2">
        <f t="shared" ca="1" si="2"/>
        <v>29</v>
      </c>
      <c r="F11">
        <v>28</v>
      </c>
      <c r="G11">
        <f t="shared" ca="1" si="3"/>
        <v>47</v>
      </c>
    </row>
    <row r="12" spans="1:10" ht="15" x14ac:dyDescent="0.2">
      <c r="A12" s="1">
        <v>10</v>
      </c>
      <c r="B12" s="3">
        <f t="shared" ca="1" si="0"/>
        <v>0.15932440051940255</v>
      </c>
      <c r="C12" s="3">
        <f t="shared" ca="1" si="1"/>
        <v>27.008284769699905</v>
      </c>
      <c r="D12" s="2">
        <f t="shared" ca="1" si="2"/>
        <v>27</v>
      </c>
      <c r="F12">
        <v>29</v>
      </c>
      <c r="G12">
        <f t="shared" ca="1" si="3"/>
        <v>41</v>
      </c>
    </row>
    <row r="13" spans="1:10" ht="15" x14ac:dyDescent="0.2">
      <c r="A13" s="1">
        <v>11</v>
      </c>
      <c r="B13" s="3">
        <f t="shared" ca="1" si="0"/>
        <v>0.10606273462968785</v>
      </c>
      <c r="C13" s="3">
        <f t="shared" ca="1" si="1"/>
        <v>26.256773297374146</v>
      </c>
      <c r="D13" s="2">
        <f t="shared" ca="1" si="2"/>
        <v>26</v>
      </c>
      <c r="F13">
        <v>30</v>
      </c>
      <c r="G13">
        <f t="shared" ca="1" si="3"/>
        <v>62</v>
      </c>
    </row>
    <row r="14" spans="1:10" ht="15" x14ac:dyDescent="0.2">
      <c r="A14" s="1">
        <v>12</v>
      </c>
      <c r="B14" s="3">
        <f t="shared" ca="1" si="0"/>
        <v>0.15983274258190239</v>
      </c>
      <c r="C14" s="3">
        <f t="shared" ca="1" si="1"/>
        <v>27.014563384240006</v>
      </c>
      <c r="D14" s="2">
        <f t="shared" ca="1" si="2"/>
        <v>27</v>
      </c>
      <c r="F14">
        <v>31</v>
      </c>
      <c r="G14">
        <f t="shared" ca="1" si="3"/>
        <v>55</v>
      </c>
    </row>
    <row r="15" spans="1:10" ht="15" x14ac:dyDescent="0.2">
      <c r="A15" s="1">
        <v>13</v>
      </c>
      <c r="B15" s="3">
        <f t="shared" ca="1" si="0"/>
        <v>7.0232487045725822E-2</v>
      </c>
      <c r="C15" s="3">
        <f t="shared" ca="1" si="1"/>
        <v>25.577814840447274</v>
      </c>
      <c r="D15" s="2">
        <f t="shared" ca="1" si="2"/>
        <v>26</v>
      </c>
      <c r="F15">
        <v>32</v>
      </c>
      <c r="G15">
        <f t="shared" ca="1" si="3"/>
        <v>76</v>
      </c>
    </row>
    <row r="16" spans="1:10" ht="15" x14ac:dyDescent="0.2">
      <c r="A16" s="1">
        <v>14</v>
      </c>
      <c r="B16" s="3">
        <f t="shared" ca="1" si="0"/>
        <v>0.97458498056975673</v>
      </c>
      <c r="C16" s="3">
        <f t="shared" ca="1" si="1"/>
        <v>35.858735611914867</v>
      </c>
      <c r="D16" s="2">
        <f t="shared" ca="1" si="2"/>
        <v>36</v>
      </c>
      <c r="F16">
        <v>33</v>
      </c>
      <c r="G16">
        <f t="shared" ca="1" si="3"/>
        <v>46</v>
      </c>
    </row>
    <row r="17" spans="1:7" ht="15" x14ac:dyDescent="0.2">
      <c r="A17" s="1">
        <v>15</v>
      </c>
      <c r="B17" s="3">
        <f t="shared" ca="1" si="0"/>
        <v>1.8086951836583154E-2</v>
      </c>
      <c r="C17" s="3">
        <f t="shared" ca="1" si="1"/>
        <v>23.715098243072816</v>
      </c>
      <c r="D17" s="2">
        <f t="shared" ca="1" si="2"/>
        <v>24</v>
      </c>
      <c r="F17">
        <v>34</v>
      </c>
      <c r="G17">
        <f t="shared" ca="1" si="3"/>
        <v>27</v>
      </c>
    </row>
    <row r="18" spans="1:7" ht="15" x14ac:dyDescent="0.2">
      <c r="A18" s="1">
        <v>16</v>
      </c>
      <c r="B18" s="3">
        <f t="shared" ca="1" si="0"/>
        <v>0.35558323298261052</v>
      </c>
      <c r="C18" s="3">
        <f t="shared" ca="1" si="1"/>
        <v>28.889130169108981</v>
      </c>
      <c r="D18" s="2">
        <f t="shared" ca="1" si="2"/>
        <v>29</v>
      </c>
      <c r="F18">
        <v>35</v>
      </c>
      <c r="G18">
        <f t="shared" ca="1" si="3"/>
        <v>11</v>
      </c>
    </row>
    <row r="19" spans="1:7" ht="15" x14ac:dyDescent="0.2">
      <c r="A19" s="1">
        <v>17</v>
      </c>
      <c r="B19" s="3">
        <f t="shared" ca="1" si="0"/>
        <v>0.4296351280544175</v>
      </c>
      <c r="C19" s="3">
        <f t="shared" ca="1" si="1"/>
        <v>29.468090471530619</v>
      </c>
      <c r="D19" s="2">
        <f t="shared" ca="1" si="2"/>
        <v>29</v>
      </c>
      <c r="F19">
        <v>36</v>
      </c>
      <c r="G19">
        <f t="shared" ca="1" si="3"/>
        <v>12</v>
      </c>
    </row>
    <row r="20" spans="1:7" ht="15" x14ac:dyDescent="0.2">
      <c r="A20" s="1">
        <v>18</v>
      </c>
      <c r="B20" s="3">
        <f t="shared" ca="1" si="0"/>
        <v>0.11087460855079279</v>
      </c>
      <c r="C20" s="3">
        <f t="shared" ca="1" si="1"/>
        <v>26.334329916954012</v>
      </c>
      <c r="D20" s="2">
        <f t="shared" ca="1" si="2"/>
        <v>26</v>
      </c>
      <c r="F20">
        <v>37</v>
      </c>
      <c r="G20">
        <f t="shared" ca="1" si="3"/>
        <v>4</v>
      </c>
    </row>
    <row r="21" spans="1:7" ht="15" x14ac:dyDescent="0.2">
      <c r="A21" s="1">
        <v>19</v>
      </c>
      <c r="B21" s="3">
        <f t="shared" ca="1" si="0"/>
        <v>0.90028365665358945</v>
      </c>
      <c r="C21" s="3">
        <f t="shared" ca="1" si="1"/>
        <v>33.84950860536177</v>
      </c>
      <c r="D21" s="2">
        <f t="shared" ca="1" si="2"/>
        <v>34</v>
      </c>
      <c r="F21">
        <v>38</v>
      </c>
      <c r="G21">
        <f t="shared" ca="1" si="3"/>
        <v>3</v>
      </c>
    </row>
    <row r="22" spans="1:7" ht="15" x14ac:dyDescent="0.2">
      <c r="A22" s="1">
        <v>20</v>
      </c>
      <c r="B22" s="3">
        <f t="shared" ca="1" si="0"/>
        <v>0.60497109238281743</v>
      </c>
      <c r="C22" s="3">
        <f t="shared" ca="1" si="1"/>
        <v>30.798706613097501</v>
      </c>
      <c r="D22" s="2">
        <f t="shared" ca="1" si="2"/>
        <v>31</v>
      </c>
      <c r="F22">
        <v>39</v>
      </c>
      <c r="G22">
        <f t="shared" ca="1" si="3"/>
        <v>1</v>
      </c>
    </row>
    <row r="23" spans="1:7" ht="15" x14ac:dyDescent="0.2">
      <c r="A23" s="1">
        <v>21</v>
      </c>
      <c r="B23" s="3">
        <f t="shared" ca="1" si="0"/>
        <v>0.8519113721641034</v>
      </c>
      <c r="C23" s="3">
        <f t="shared" ca="1" si="1"/>
        <v>33.133998703688079</v>
      </c>
      <c r="D23" s="2">
        <f t="shared" ca="1" si="2"/>
        <v>33</v>
      </c>
      <c r="F23">
        <v>40</v>
      </c>
      <c r="G23">
        <f t="shared" ca="1" si="3"/>
        <v>0</v>
      </c>
    </row>
    <row r="24" spans="1:7" ht="15" x14ac:dyDescent="0.2">
      <c r="A24" s="1">
        <v>22</v>
      </c>
      <c r="B24" s="3">
        <f t="shared" ca="1" si="0"/>
        <v>0.77509472861271711</v>
      </c>
      <c r="C24" s="3">
        <f t="shared" ca="1" si="1"/>
        <v>32.267192754612665</v>
      </c>
      <c r="D24" s="2">
        <f t="shared" ca="1" si="2"/>
        <v>32</v>
      </c>
    </row>
    <row r="25" spans="1:7" ht="15" x14ac:dyDescent="0.2">
      <c r="A25" s="1">
        <v>23</v>
      </c>
      <c r="B25" s="3">
        <f t="shared" ca="1" si="0"/>
        <v>0.72045742698715498</v>
      </c>
      <c r="C25" s="3">
        <f t="shared" ca="1" si="1"/>
        <v>31.752602744904681</v>
      </c>
      <c r="D25" s="2">
        <f t="shared" ca="1" si="2"/>
        <v>32</v>
      </c>
    </row>
    <row r="26" spans="1:7" ht="15" x14ac:dyDescent="0.2">
      <c r="A26" s="1">
        <v>24</v>
      </c>
      <c r="B26" s="3">
        <f t="shared" ca="1" si="0"/>
        <v>0.77083134220606619</v>
      </c>
      <c r="C26" s="3">
        <f t="shared" ca="1" si="1"/>
        <v>32.224762419533192</v>
      </c>
      <c r="D26" s="2">
        <f t="shared" ca="1" si="2"/>
        <v>32</v>
      </c>
    </row>
    <row r="27" spans="1:7" ht="15" x14ac:dyDescent="0.2">
      <c r="A27" s="1">
        <v>25</v>
      </c>
      <c r="B27" s="3">
        <f t="shared" ca="1" si="0"/>
        <v>0.44255762875743876</v>
      </c>
      <c r="C27" s="3">
        <f t="shared" ca="1" si="1"/>
        <v>29.566536478271441</v>
      </c>
      <c r="D27" s="2">
        <f t="shared" ca="1" si="2"/>
        <v>30</v>
      </c>
    </row>
    <row r="28" spans="1:7" ht="15" x14ac:dyDescent="0.2">
      <c r="A28" s="1">
        <v>26</v>
      </c>
      <c r="B28" s="3">
        <f t="shared" ca="1" si="0"/>
        <v>0.67601749803309019</v>
      </c>
      <c r="C28" s="3">
        <f t="shared" ca="1" si="1"/>
        <v>31.369773189377337</v>
      </c>
      <c r="D28" s="2">
        <f t="shared" ca="1" si="2"/>
        <v>31</v>
      </c>
    </row>
    <row r="29" spans="1:7" ht="15" x14ac:dyDescent="0.2">
      <c r="A29" s="1">
        <v>27</v>
      </c>
      <c r="B29" s="3">
        <f t="shared" ca="1" si="0"/>
        <v>0.4063773949842765</v>
      </c>
      <c r="C29" s="3">
        <f t="shared" ca="1" si="1"/>
        <v>29.289378962669993</v>
      </c>
      <c r="D29" s="2">
        <f t="shared" ca="1" si="2"/>
        <v>29</v>
      </c>
    </row>
    <row r="30" spans="1:7" ht="15" x14ac:dyDescent="0.2">
      <c r="A30" s="1">
        <v>28</v>
      </c>
      <c r="B30" s="3">
        <f t="shared" ca="1" si="0"/>
        <v>0.70900569909172517</v>
      </c>
      <c r="C30" s="3">
        <f t="shared" ca="1" si="1"/>
        <v>31.651446952508742</v>
      </c>
      <c r="D30" s="2">
        <f t="shared" ca="1" si="2"/>
        <v>32</v>
      </c>
    </row>
    <row r="31" spans="1:7" ht="15" x14ac:dyDescent="0.2">
      <c r="A31" s="1">
        <v>29</v>
      </c>
      <c r="B31" s="3">
        <f t="shared" ca="1" si="0"/>
        <v>7.5280093338122578E-2</v>
      </c>
      <c r="C31" s="3">
        <f t="shared" ca="1" si="1"/>
        <v>25.687333202648222</v>
      </c>
      <c r="D31" s="2">
        <f t="shared" ca="1" si="2"/>
        <v>26</v>
      </c>
    </row>
    <row r="32" spans="1:7" ht="15" x14ac:dyDescent="0.2">
      <c r="A32" s="1">
        <v>30</v>
      </c>
      <c r="B32" s="3">
        <f t="shared" ca="1" si="0"/>
        <v>0.50681964375194133</v>
      </c>
      <c r="C32" s="3">
        <f t="shared" ca="1" si="1"/>
        <v>30.05128543342148</v>
      </c>
      <c r="D32" s="2">
        <f t="shared" ca="1" si="2"/>
        <v>30</v>
      </c>
    </row>
    <row r="33" spans="1:4" ht="15" x14ac:dyDescent="0.2">
      <c r="A33" s="1">
        <v>31</v>
      </c>
      <c r="B33" s="3">
        <f t="shared" ca="1" si="0"/>
        <v>0.12371051305446856</v>
      </c>
      <c r="C33" s="3">
        <f t="shared" ca="1" si="1"/>
        <v>26.530091401868173</v>
      </c>
      <c r="D33" s="2">
        <f t="shared" ca="1" si="2"/>
        <v>27</v>
      </c>
    </row>
    <row r="34" spans="1:4" ht="15" x14ac:dyDescent="0.2">
      <c r="A34" s="1">
        <v>32</v>
      </c>
      <c r="B34" s="3">
        <f t="shared" ca="1" si="0"/>
        <v>0.52001952946397478</v>
      </c>
      <c r="C34" s="3">
        <f t="shared" ca="1" si="1"/>
        <v>30.150607794714599</v>
      </c>
      <c r="D34" s="2">
        <f t="shared" ca="1" si="2"/>
        <v>30</v>
      </c>
    </row>
    <row r="35" spans="1:4" ht="15" x14ac:dyDescent="0.2">
      <c r="A35" s="1">
        <v>33</v>
      </c>
      <c r="B35" s="3">
        <f t="shared" ca="1" si="0"/>
        <v>0.6023421277425367</v>
      </c>
      <c r="C35" s="3">
        <f t="shared" ca="1" si="1"/>
        <v>30.778242328202762</v>
      </c>
      <c r="D35" s="2">
        <f t="shared" ca="1" si="2"/>
        <v>31</v>
      </c>
    </row>
    <row r="36" spans="1:4" ht="15" x14ac:dyDescent="0.2">
      <c r="A36" s="1">
        <v>34</v>
      </c>
      <c r="B36" s="3">
        <f t="shared" ca="1" si="0"/>
        <v>0.21575129991658915</v>
      </c>
      <c r="C36" s="3">
        <f t="shared" ca="1" si="1"/>
        <v>27.64013104434413</v>
      </c>
      <c r="D36" s="2">
        <f t="shared" ca="1" si="2"/>
        <v>28</v>
      </c>
    </row>
    <row r="37" spans="1:4" ht="15" x14ac:dyDescent="0.2">
      <c r="A37" s="1">
        <v>35</v>
      </c>
      <c r="B37" s="3">
        <f t="shared" ca="1" si="0"/>
        <v>0.65873583357048282</v>
      </c>
      <c r="C37" s="3">
        <f t="shared" ca="1" si="1"/>
        <v>31.227046309650174</v>
      </c>
      <c r="D37" s="2">
        <f t="shared" ca="1" si="2"/>
        <v>31</v>
      </c>
    </row>
    <row r="38" spans="1:4" ht="15" x14ac:dyDescent="0.2">
      <c r="A38" s="1">
        <v>36</v>
      </c>
      <c r="B38" s="3">
        <f t="shared" ca="1" si="0"/>
        <v>0.80611589959910102</v>
      </c>
      <c r="C38" s="3">
        <f t="shared" ca="1" si="1"/>
        <v>32.591015445897497</v>
      </c>
      <c r="D38" s="2">
        <f t="shared" ca="1" si="2"/>
        <v>33</v>
      </c>
    </row>
    <row r="39" spans="1:4" ht="15" x14ac:dyDescent="0.2">
      <c r="A39" s="1">
        <v>37</v>
      </c>
      <c r="B39" s="3">
        <f t="shared" ca="1" si="0"/>
        <v>0.42392301330055426</v>
      </c>
      <c r="C39" s="3">
        <f t="shared" ca="1" si="1"/>
        <v>29.424397618450701</v>
      </c>
      <c r="D39" s="2">
        <f t="shared" ca="1" si="2"/>
        <v>29</v>
      </c>
    </row>
    <row r="40" spans="1:4" ht="15" x14ac:dyDescent="0.2">
      <c r="A40" s="1">
        <v>38</v>
      </c>
      <c r="B40" s="3">
        <f t="shared" ca="1" si="0"/>
        <v>0.48166553077034258</v>
      </c>
      <c r="C40" s="3">
        <f t="shared" ca="1" si="1"/>
        <v>29.862078333314933</v>
      </c>
      <c r="D40" s="2">
        <f t="shared" ca="1" si="2"/>
        <v>30</v>
      </c>
    </row>
    <row r="41" spans="1:4" ht="15" x14ac:dyDescent="0.2">
      <c r="A41" s="1">
        <v>39</v>
      </c>
      <c r="B41" s="3">
        <f t="shared" ca="1" si="0"/>
        <v>0.57580746140752215</v>
      </c>
      <c r="C41" s="3">
        <f t="shared" ca="1" si="1"/>
        <v>30.573538066650279</v>
      </c>
      <c r="D41" s="2">
        <f t="shared" ca="1" si="2"/>
        <v>31</v>
      </c>
    </row>
    <row r="42" spans="1:4" ht="15" x14ac:dyDescent="0.2">
      <c r="A42" s="1">
        <v>40</v>
      </c>
      <c r="B42" s="3">
        <f t="shared" ca="1" si="0"/>
        <v>0.11917221850349835</v>
      </c>
      <c r="C42" s="3">
        <f t="shared" ca="1" si="1"/>
        <v>26.46259510026238</v>
      </c>
      <c r="D42" s="2">
        <f t="shared" ca="1" si="2"/>
        <v>26</v>
      </c>
    </row>
    <row r="43" spans="1:4" ht="15" x14ac:dyDescent="0.2">
      <c r="A43" s="1">
        <v>41</v>
      </c>
      <c r="B43" s="3">
        <f t="shared" ca="1" si="0"/>
        <v>0.29842193209144918</v>
      </c>
      <c r="C43" s="3">
        <f t="shared" ca="1" si="1"/>
        <v>28.413166124793488</v>
      </c>
      <c r="D43" s="2">
        <f t="shared" ca="1" si="2"/>
        <v>28</v>
      </c>
    </row>
    <row r="44" spans="1:4" ht="15" x14ac:dyDescent="0.2">
      <c r="A44" s="1">
        <v>42</v>
      </c>
      <c r="B44" s="3">
        <f t="shared" ca="1" si="0"/>
        <v>0.39918931608938713</v>
      </c>
      <c r="C44" s="3">
        <f t="shared" ca="1" si="1"/>
        <v>29.23366194614751</v>
      </c>
      <c r="D44" s="2">
        <f t="shared" ca="1" si="2"/>
        <v>29</v>
      </c>
    </row>
    <row r="45" spans="1:4" ht="15" x14ac:dyDescent="0.2">
      <c r="A45" s="1">
        <v>43</v>
      </c>
      <c r="B45" s="3">
        <f t="shared" ca="1" si="0"/>
        <v>0.72214285731650818</v>
      </c>
      <c r="C45" s="3">
        <f t="shared" ca="1" si="1"/>
        <v>31.767657392517123</v>
      </c>
      <c r="D45" s="2">
        <f t="shared" ca="1" si="2"/>
        <v>32</v>
      </c>
    </row>
    <row r="46" spans="1:4" ht="15" x14ac:dyDescent="0.2">
      <c r="A46" s="1">
        <v>44</v>
      </c>
      <c r="B46" s="3">
        <f t="shared" ca="1" si="0"/>
        <v>0.61164077872434786</v>
      </c>
      <c r="C46" s="3">
        <f t="shared" ca="1" si="1"/>
        <v>30.850794107357736</v>
      </c>
      <c r="D46" s="2">
        <f t="shared" ca="1" si="2"/>
        <v>31</v>
      </c>
    </row>
    <row r="47" spans="1:4" ht="15" x14ac:dyDescent="0.2">
      <c r="A47" s="1">
        <v>45</v>
      </c>
      <c r="B47" s="3">
        <f t="shared" ca="1" si="0"/>
        <v>0.15878442567165407</v>
      </c>
      <c r="C47" s="3">
        <f t="shared" ca="1" si="1"/>
        <v>27.001601069065334</v>
      </c>
      <c r="D47" s="2">
        <f t="shared" ca="1" si="2"/>
        <v>27</v>
      </c>
    </row>
    <row r="48" spans="1:4" ht="15" x14ac:dyDescent="0.2">
      <c r="A48" s="1">
        <v>46</v>
      </c>
      <c r="B48" s="3">
        <f t="shared" ca="1" si="0"/>
        <v>0.75760923012778247</v>
      </c>
      <c r="C48" s="3">
        <f t="shared" ca="1" si="1"/>
        <v>32.095898401414125</v>
      </c>
      <c r="D48" s="2">
        <f t="shared" ca="1" si="2"/>
        <v>32</v>
      </c>
    </row>
    <row r="49" spans="1:4" ht="15" x14ac:dyDescent="0.2">
      <c r="A49" s="1">
        <v>47</v>
      </c>
      <c r="B49" s="3">
        <f t="shared" ca="1" si="0"/>
        <v>6.7194705682094957E-2</v>
      </c>
      <c r="C49" s="3">
        <f t="shared" ca="1" si="1"/>
        <v>25.508955649120299</v>
      </c>
      <c r="D49" s="2">
        <f t="shared" ca="1" si="2"/>
        <v>26</v>
      </c>
    </row>
    <row r="50" spans="1:4" ht="15" x14ac:dyDescent="0.2">
      <c r="A50" s="1">
        <v>48</v>
      </c>
      <c r="B50" s="3">
        <f t="shared" ca="1" si="0"/>
        <v>0.21966714847385782</v>
      </c>
      <c r="C50" s="3">
        <f t="shared" ca="1" si="1"/>
        <v>27.680046463181544</v>
      </c>
      <c r="D50" s="2">
        <f t="shared" ca="1" si="2"/>
        <v>28</v>
      </c>
    </row>
    <row r="51" spans="1:4" ht="15" x14ac:dyDescent="0.2">
      <c r="A51" s="1">
        <v>49</v>
      </c>
      <c r="B51" s="3">
        <f t="shared" ca="1" si="0"/>
        <v>0.20782236876656413</v>
      </c>
      <c r="C51" s="3">
        <f t="shared" ca="1" si="1"/>
        <v>27.557998882310837</v>
      </c>
      <c r="D51" s="2">
        <f t="shared" ca="1" si="2"/>
        <v>28</v>
      </c>
    </row>
    <row r="52" spans="1:4" ht="15" x14ac:dyDescent="0.2">
      <c r="A52" s="1">
        <v>50</v>
      </c>
      <c r="B52" s="3">
        <f t="shared" ca="1" si="0"/>
        <v>0.29878440754582114</v>
      </c>
      <c r="C52" s="3">
        <f t="shared" ca="1" si="1"/>
        <v>28.416300304173312</v>
      </c>
      <c r="D52" s="2">
        <f t="shared" ca="1" si="2"/>
        <v>28</v>
      </c>
    </row>
    <row r="53" spans="1:4" ht="15" x14ac:dyDescent="0.2">
      <c r="A53" s="1">
        <v>51</v>
      </c>
      <c r="B53" s="3">
        <f t="shared" ca="1" si="0"/>
        <v>0.8833907395672761</v>
      </c>
      <c r="C53" s="3">
        <f t="shared" ref="C53:C116" ca="1" si="4">_xlfn.NORM.INV(B53,$I$3,$J$3)</f>
        <v>33.576326905413943</v>
      </c>
      <c r="D53" s="2">
        <f t="shared" ref="D53:D116" ca="1" si="5">ROUND(_xlfn.NORM.INV(B53,$I$3,$J$3),0)</f>
        <v>34</v>
      </c>
    </row>
    <row r="54" spans="1:4" ht="15" x14ac:dyDescent="0.2">
      <c r="A54" s="1">
        <v>52</v>
      </c>
      <c r="B54" s="3">
        <f t="shared" ca="1" si="0"/>
        <v>0.28920189443481203</v>
      </c>
      <c r="C54" s="3">
        <f t="shared" ca="1" si="4"/>
        <v>28.332846611461452</v>
      </c>
      <c r="D54" s="2">
        <f t="shared" ca="1" si="5"/>
        <v>28</v>
      </c>
    </row>
    <row r="55" spans="1:4" ht="15" x14ac:dyDescent="0.2">
      <c r="A55" s="1">
        <v>53</v>
      </c>
      <c r="B55" s="3">
        <f t="shared" ca="1" si="0"/>
        <v>0.59042344347710207</v>
      </c>
      <c r="C55" s="3">
        <f t="shared" ca="1" si="4"/>
        <v>30.685903093003116</v>
      </c>
      <c r="D55" s="2">
        <f t="shared" ca="1" si="5"/>
        <v>31</v>
      </c>
    </row>
    <row r="56" spans="1:4" ht="15" x14ac:dyDescent="0.2">
      <c r="A56" s="1">
        <v>54</v>
      </c>
      <c r="B56" s="3">
        <f t="shared" ca="1" si="0"/>
        <v>0.23547910270803307</v>
      </c>
      <c r="C56" s="3">
        <f t="shared" ca="1" si="4"/>
        <v>27.837237408710326</v>
      </c>
      <c r="D56" s="2">
        <f t="shared" ca="1" si="5"/>
        <v>28</v>
      </c>
    </row>
    <row r="57" spans="1:4" ht="15" x14ac:dyDescent="0.2">
      <c r="A57" s="1">
        <v>55</v>
      </c>
      <c r="B57" s="3">
        <f t="shared" ca="1" si="0"/>
        <v>0.11815415038811006</v>
      </c>
      <c r="C57" s="3">
        <f t="shared" ca="1" si="4"/>
        <v>26.447205923456924</v>
      </c>
      <c r="D57" s="2">
        <f t="shared" ca="1" si="5"/>
        <v>26</v>
      </c>
    </row>
    <row r="58" spans="1:4" ht="15" x14ac:dyDescent="0.2">
      <c r="A58" s="1">
        <v>56</v>
      </c>
      <c r="B58" s="3">
        <f t="shared" ca="1" si="0"/>
        <v>0.22259987825539251</v>
      </c>
      <c r="C58" s="3">
        <f t="shared" ca="1" si="4"/>
        <v>27.709673579931465</v>
      </c>
      <c r="D58" s="2">
        <f t="shared" ca="1" si="5"/>
        <v>28</v>
      </c>
    </row>
    <row r="59" spans="1:4" ht="15" x14ac:dyDescent="0.2">
      <c r="A59" s="1">
        <v>57</v>
      </c>
      <c r="B59" s="3">
        <f t="shared" ca="1" si="0"/>
        <v>0.27061844536508894</v>
      </c>
      <c r="C59" s="3">
        <f t="shared" ca="1" si="4"/>
        <v>28.167169071113534</v>
      </c>
      <c r="D59" s="2">
        <f t="shared" ca="1" si="5"/>
        <v>28</v>
      </c>
    </row>
    <row r="60" spans="1:4" ht="15" x14ac:dyDescent="0.2">
      <c r="A60" s="1">
        <v>58</v>
      </c>
      <c r="B60" s="3">
        <f t="shared" ca="1" si="0"/>
        <v>0.51297152773212629</v>
      </c>
      <c r="C60" s="3">
        <f t="shared" ca="1" si="4"/>
        <v>30.097561588417271</v>
      </c>
      <c r="D60" s="2">
        <f t="shared" ca="1" si="5"/>
        <v>30</v>
      </c>
    </row>
    <row r="61" spans="1:4" ht="15" x14ac:dyDescent="0.2">
      <c r="A61" s="1">
        <v>59</v>
      </c>
      <c r="B61" s="3">
        <f t="shared" ca="1" si="0"/>
        <v>2.6735837232906512E-2</v>
      </c>
      <c r="C61" s="3">
        <f t="shared" ca="1" si="4"/>
        <v>24.206723958742955</v>
      </c>
      <c r="D61" s="2">
        <f t="shared" ca="1" si="5"/>
        <v>24</v>
      </c>
    </row>
    <row r="62" spans="1:4" ht="15" x14ac:dyDescent="0.2">
      <c r="A62" s="1">
        <v>60</v>
      </c>
      <c r="B62" s="3">
        <f t="shared" ca="1" si="0"/>
        <v>8.6807767220707932E-2</v>
      </c>
      <c r="C62" s="3">
        <f t="shared" ca="1" si="4"/>
        <v>25.917966611651924</v>
      </c>
      <c r="D62" s="2">
        <f t="shared" ca="1" si="5"/>
        <v>26</v>
      </c>
    </row>
    <row r="63" spans="1:4" ht="15" x14ac:dyDescent="0.2">
      <c r="A63" s="1">
        <v>61</v>
      </c>
      <c r="B63" s="3">
        <f t="shared" ca="1" si="0"/>
        <v>0.73124898769225755</v>
      </c>
      <c r="C63" s="3">
        <f t="shared" ca="1" si="4"/>
        <v>31.84978440293461</v>
      </c>
      <c r="D63" s="2">
        <f t="shared" ca="1" si="5"/>
        <v>32</v>
      </c>
    </row>
    <row r="64" spans="1:4" ht="15" x14ac:dyDescent="0.2">
      <c r="A64" s="1">
        <v>62</v>
      </c>
      <c r="B64" s="3">
        <f t="shared" ca="1" si="0"/>
        <v>0.85883160799446301</v>
      </c>
      <c r="C64" s="3">
        <f t="shared" ca="1" si="4"/>
        <v>33.225254266136176</v>
      </c>
      <c r="D64" s="2">
        <f t="shared" ca="1" si="5"/>
        <v>33</v>
      </c>
    </row>
    <row r="65" spans="1:4" ht="15" x14ac:dyDescent="0.2">
      <c r="A65" s="1">
        <v>63</v>
      </c>
      <c r="B65" s="3">
        <f t="shared" ca="1" si="0"/>
        <v>0.86899004026238169</v>
      </c>
      <c r="C65" s="3">
        <f t="shared" ca="1" si="4"/>
        <v>33.364889091234971</v>
      </c>
      <c r="D65" s="2">
        <f t="shared" ca="1" si="5"/>
        <v>33</v>
      </c>
    </row>
    <row r="66" spans="1:4" ht="15" x14ac:dyDescent="0.2">
      <c r="A66" s="1">
        <v>64</v>
      </c>
      <c r="B66" s="3">
        <f t="shared" ca="1" si="0"/>
        <v>0.69363827676901268</v>
      </c>
      <c r="C66" s="3">
        <f t="shared" ca="1" si="4"/>
        <v>31.518569264664624</v>
      </c>
      <c r="D66" s="2">
        <f t="shared" ca="1" si="5"/>
        <v>32</v>
      </c>
    </row>
    <row r="67" spans="1:4" ht="15" x14ac:dyDescent="0.2">
      <c r="A67" s="1">
        <v>65</v>
      </c>
      <c r="B67" s="3">
        <f t="shared" ca="1" si="0"/>
        <v>0.8356936325881178</v>
      </c>
      <c r="C67" s="3">
        <f t="shared" ca="1" si="4"/>
        <v>32.930735912671793</v>
      </c>
      <c r="D67" s="2">
        <f t="shared" ca="1" si="5"/>
        <v>33</v>
      </c>
    </row>
    <row r="68" spans="1:4" ht="15" x14ac:dyDescent="0.2">
      <c r="A68" s="1">
        <v>66</v>
      </c>
      <c r="B68" s="3">
        <f t="shared" ref="B68:B131" ca="1" si="6">RAND()</f>
        <v>0.15361886527315438</v>
      </c>
      <c r="C68" s="3">
        <f t="shared" ca="1" si="4"/>
        <v>26.936894201138813</v>
      </c>
      <c r="D68" s="2">
        <f t="shared" ca="1" si="5"/>
        <v>27</v>
      </c>
    </row>
    <row r="69" spans="1:4" ht="15" x14ac:dyDescent="0.2">
      <c r="A69" s="1">
        <v>67</v>
      </c>
      <c r="B69" s="3">
        <f t="shared" ca="1" si="6"/>
        <v>0.48783109425256443</v>
      </c>
      <c r="C69" s="3">
        <f t="shared" ca="1" si="4"/>
        <v>29.908477035331639</v>
      </c>
      <c r="D69" s="2">
        <f t="shared" ca="1" si="5"/>
        <v>30</v>
      </c>
    </row>
    <row r="70" spans="1:4" ht="15" x14ac:dyDescent="0.2">
      <c r="A70" s="1">
        <v>68</v>
      </c>
      <c r="B70" s="3">
        <f t="shared" ca="1" si="6"/>
        <v>0.25954688749485311</v>
      </c>
      <c r="C70" s="3">
        <f t="shared" ca="1" si="4"/>
        <v>28.065771135910992</v>
      </c>
      <c r="D70" s="2">
        <f t="shared" ca="1" si="5"/>
        <v>28</v>
      </c>
    </row>
    <row r="71" spans="1:4" ht="15" x14ac:dyDescent="0.2">
      <c r="A71" s="1">
        <v>69</v>
      </c>
      <c r="B71" s="3">
        <f t="shared" ca="1" si="6"/>
        <v>0.16375415461730181</v>
      </c>
      <c r="C71" s="3">
        <f t="shared" ca="1" si="4"/>
        <v>27.062564815014088</v>
      </c>
      <c r="D71" s="2">
        <f t="shared" ca="1" si="5"/>
        <v>27</v>
      </c>
    </row>
    <row r="72" spans="1:4" ht="15" x14ac:dyDescent="0.2">
      <c r="A72" s="1">
        <v>70</v>
      </c>
      <c r="B72" s="3">
        <f t="shared" ca="1" si="6"/>
        <v>0.67852273762948923</v>
      </c>
      <c r="C72" s="3">
        <f t="shared" ca="1" si="4"/>
        <v>31.39071555715968</v>
      </c>
      <c r="D72" s="2">
        <f t="shared" ca="1" si="5"/>
        <v>31</v>
      </c>
    </row>
    <row r="73" spans="1:4" ht="15" x14ac:dyDescent="0.2">
      <c r="A73" s="1">
        <v>71</v>
      </c>
      <c r="B73" s="3">
        <f t="shared" ca="1" si="6"/>
        <v>0.89222766618039606</v>
      </c>
      <c r="C73" s="3">
        <f t="shared" ca="1" si="4"/>
        <v>33.715387102235439</v>
      </c>
      <c r="D73" s="2">
        <f t="shared" ca="1" si="5"/>
        <v>34</v>
      </c>
    </row>
    <row r="74" spans="1:4" ht="15" x14ac:dyDescent="0.2">
      <c r="A74" s="1">
        <v>72</v>
      </c>
      <c r="B74" s="3">
        <f t="shared" ca="1" si="6"/>
        <v>0.10822250151279267</v>
      </c>
      <c r="C74" s="3">
        <f t="shared" ca="1" si="4"/>
        <v>26.2918905524187</v>
      </c>
      <c r="D74" s="2">
        <f t="shared" ca="1" si="5"/>
        <v>26</v>
      </c>
    </row>
    <row r="75" spans="1:4" ht="15" x14ac:dyDescent="0.2">
      <c r="A75" s="1">
        <v>73</v>
      </c>
      <c r="B75" s="3">
        <f t="shared" ca="1" si="6"/>
        <v>0.17754563355363107</v>
      </c>
      <c r="C75" s="3">
        <f t="shared" ca="1" si="4"/>
        <v>27.225722914958215</v>
      </c>
      <c r="D75" s="2">
        <f t="shared" ca="1" si="5"/>
        <v>27</v>
      </c>
    </row>
    <row r="76" spans="1:4" ht="15" x14ac:dyDescent="0.2">
      <c r="A76" s="1">
        <v>74</v>
      </c>
      <c r="B76" s="3">
        <f t="shared" ca="1" si="6"/>
        <v>0.1770679856512053</v>
      </c>
      <c r="C76" s="3">
        <f t="shared" ca="1" si="4"/>
        <v>27.220209913686475</v>
      </c>
      <c r="D76" s="2">
        <f t="shared" ca="1" si="5"/>
        <v>27</v>
      </c>
    </row>
    <row r="77" spans="1:4" ht="15" x14ac:dyDescent="0.2">
      <c r="A77" s="1">
        <v>75</v>
      </c>
      <c r="B77" s="3">
        <f t="shared" ca="1" si="6"/>
        <v>0.89548703300993016</v>
      </c>
      <c r="C77" s="3">
        <f t="shared" ca="1" si="4"/>
        <v>33.768745114861218</v>
      </c>
      <c r="D77" s="2">
        <f t="shared" ca="1" si="5"/>
        <v>34</v>
      </c>
    </row>
    <row r="78" spans="1:4" ht="15" x14ac:dyDescent="0.2">
      <c r="A78" s="1">
        <v>76</v>
      </c>
      <c r="B78" s="3">
        <f t="shared" ca="1" si="6"/>
        <v>0.75049952133812448</v>
      </c>
      <c r="C78" s="3">
        <f t="shared" ca="1" si="4"/>
        <v>32.028187533018048</v>
      </c>
      <c r="D78" s="2">
        <f t="shared" ca="1" si="5"/>
        <v>32</v>
      </c>
    </row>
    <row r="79" spans="1:4" ht="15" x14ac:dyDescent="0.2">
      <c r="A79" s="1">
        <v>77</v>
      </c>
      <c r="B79" s="3">
        <f t="shared" ca="1" si="6"/>
        <v>0.89140068080583634</v>
      </c>
      <c r="C79" s="3">
        <f t="shared" ca="1" si="4"/>
        <v>33.702034344135257</v>
      </c>
      <c r="D79" s="2">
        <f t="shared" ca="1" si="5"/>
        <v>34</v>
      </c>
    </row>
    <row r="80" spans="1:4" ht="15" x14ac:dyDescent="0.2">
      <c r="A80" s="1">
        <v>78</v>
      </c>
      <c r="B80" s="3">
        <f t="shared" ca="1" si="6"/>
        <v>0.80769029171572748</v>
      </c>
      <c r="C80" s="3">
        <f t="shared" ca="1" si="4"/>
        <v>32.608249197255866</v>
      </c>
      <c r="D80" s="2">
        <f t="shared" ca="1" si="5"/>
        <v>33</v>
      </c>
    </row>
    <row r="81" spans="1:4" ht="15" x14ac:dyDescent="0.2">
      <c r="A81" s="1">
        <v>79</v>
      </c>
      <c r="B81" s="3">
        <f t="shared" ca="1" si="6"/>
        <v>0.90607666592617186</v>
      </c>
      <c r="C81" s="3">
        <f t="shared" ca="1" si="4"/>
        <v>33.950928011442798</v>
      </c>
      <c r="D81" s="2">
        <f t="shared" ca="1" si="5"/>
        <v>34</v>
      </c>
    </row>
    <row r="82" spans="1:4" ht="15" x14ac:dyDescent="0.2">
      <c r="A82" s="1">
        <v>80</v>
      </c>
      <c r="B82" s="3">
        <f t="shared" ca="1" si="6"/>
        <v>0.52588100354281775</v>
      </c>
      <c r="C82" s="3">
        <f t="shared" ca="1" si="4"/>
        <v>30.194758883097119</v>
      </c>
      <c r="D82" s="2">
        <f t="shared" ca="1" si="5"/>
        <v>30</v>
      </c>
    </row>
    <row r="83" spans="1:4" ht="15" x14ac:dyDescent="0.2">
      <c r="A83" s="1">
        <v>81</v>
      </c>
      <c r="B83" s="3">
        <f t="shared" ca="1" si="6"/>
        <v>0.39120099093966387</v>
      </c>
      <c r="C83" s="3">
        <f t="shared" ca="1" si="4"/>
        <v>29.171429392195797</v>
      </c>
      <c r="D83" s="2">
        <f t="shared" ca="1" si="5"/>
        <v>29</v>
      </c>
    </row>
    <row r="84" spans="1:4" ht="15" x14ac:dyDescent="0.2">
      <c r="A84" s="1">
        <v>82</v>
      </c>
      <c r="B84" s="3">
        <f t="shared" ca="1" si="6"/>
        <v>0.66624454913896114</v>
      </c>
      <c r="C84" s="3">
        <f t="shared" ca="1" si="4"/>
        <v>31.288699947560417</v>
      </c>
      <c r="D84" s="2">
        <f t="shared" ca="1" si="5"/>
        <v>31</v>
      </c>
    </row>
    <row r="85" spans="1:4" ht="15" x14ac:dyDescent="0.2">
      <c r="A85" s="1">
        <v>83</v>
      </c>
      <c r="B85" s="3">
        <f t="shared" ca="1" si="6"/>
        <v>0.33287370804900862</v>
      </c>
      <c r="C85" s="3">
        <f t="shared" ca="1" si="4"/>
        <v>28.704024778138308</v>
      </c>
      <c r="D85" s="2">
        <f t="shared" ca="1" si="5"/>
        <v>29</v>
      </c>
    </row>
    <row r="86" spans="1:4" ht="15" x14ac:dyDescent="0.2">
      <c r="A86" s="1">
        <v>84</v>
      </c>
      <c r="B86" s="3">
        <f t="shared" ca="1" si="6"/>
        <v>0.68655587223541981</v>
      </c>
      <c r="C86" s="3">
        <f t="shared" ca="1" si="4"/>
        <v>31.458333900111629</v>
      </c>
      <c r="D86" s="2">
        <f t="shared" ca="1" si="5"/>
        <v>31</v>
      </c>
    </row>
    <row r="87" spans="1:4" ht="15" x14ac:dyDescent="0.2">
      <c r="A87" s="1">
        <v>85</v>
      </c>
      <c r="B87" s="3">
        <f t="shared" ca="1" si="6"/>
        <v>9.520953346360661E-2</v>
      </c>
      <c r="C87" s="3">
        <f t="shared" ca="1" si="4"/>
        <v>26.07197876911183</v>
      </c>
      <c r="D87" s="2">
        <f t="shared" ca="1" si="5"/>
        <v>26</v>
      </c>
    </row>
    <row r="88" spans="1:4" ht="15" x14ac:dyDescent="0.2">
      <c r="A88" s="1">
        <v>86</v>
      </c>
      <c r="B88" s="3">
        <f t="shared" ca="1" si="6"/>
        <v>0.38754962617450284</v>
      </c>
      <c r="C88" s="3">
        <f t="shared" ca="1" si="4"/>
        <v>29.14286611243109</v>
      </c>
      <c r="D88" s="2">
        <f t="shared" ca="1" si="5"/>
        <v>29</v>
      </c>
    </row>
    <row r="89" spans="1:4" ht="15" x14ac:dyDescent="0.2">
      <c r="A89" s="1">
        <v>87</v>
      </c>
      <c r="B89" s="3">
        <f t="shared" ca="1" si="6"/>
        <v>0.38795960231515603</v>
      </c>
      <c r="C89" s="3">
        <f t="shared" ca="1" si="4"/>
        <v>29.146077031682768</v>
      </c>
      <c r="D89" s="2">
        <f t="shared" ca="1" si="5"/>
        <v>29</v>
      </c>
    </row>
    <row r="90" spans="1:4" ht="15" x14ac:dyDescent="0.2">
      <c r="A90" s="1">
        <v>88</v>
      </c>
      <c r="B90" s="3">
        <f t="shared" ca="1" si="6"/>
        <v>0.77289109428457181</v>
      </c>
      <c r="C90" s="3">
        <f t="shared" ca="1" si="4"/>
        <v>32.245205527936754</v>
      </c>
      <c r="D90" s="2">
        <f t="shared" ca="1" si="5"/>
        <v>32</v>
      </c>
    </row>
    <row r="91" spans="1:4" ht="15" x14ac:dyDescent="0.2">
      <c r="A91" s="1">
        <v>89</v>
      </c>
      <c r="B91" s="3">
        <f t="shared" ca="1" si="6"/>
        <v>0.61933361483973104</v>
      </c>
      <c r="C91" s="3">
        <f t="shared" ca="1" si="4"/>
        <v>30.91119326830669</v>
      </c>
      <c r="D91" s="2">
        <f t="shared" ca="1" si="5"/>
        <v>31</v>
      </c>
    </row>
    <row r="92" spans="1:4" ht="15" x14ac:dyDescent="0.2">
      <c r="A92" s="1">
        <v>90</v>
      </c>
      <c r="B92" s="3">
        <f t="shared" ca="1" si="6"/>
        <v>9.4860917231115116E-2</v>
      </c>
      <c r="C92" s="3">
        <f t="shared" ca="1" si="4"/>
        <v>26.065792675855796</v>
      </c>
      <c r="D92" s="2">
        <f t="shared" ca="1" si="5"/>
        <v>26</v>
      </c>
    </row>
    <row r="93" spans="1:4" ht="15" x14ac:dyDescent="0.2">
      <c r="A93" s="1">
        <v>91</v>
      </c>
      <c r="B93" s="3">
        <f t="shared" ca="1" si="6"/>
        <v>0.62899670221148629</v>
      </c>
      <c r="C93" s="3">
        <f t="shared" ca="1" si="4"/>
        <v>30.987591773064732</v>
      </c>
      <c r="D93" s="2">
        <f t="shared" ca="1" si="5"/>
        <v>31</v>
      </c>
    </row>
    <row r="94" spans="1:4" ht="15" x14ac:dyDescent="0.2">
      <c r="A94" s="1">
        <v>92</v>
      </c>
      <c r="B94" s="3">
        <f t="shared" ca="1" si="6"/>
        <v>0.96505039815809679</v>
      </c>
      <c r="C94" s="3">
        <f t="shared" ca="1" si="4"/>
        <v>35.437689877941438</v>
      </c>
      <c r="D94" s="2">
        <f t="shared" ca="1" si="5"/>
        <v>35</v>
      </c>
    </row>
    <row r="95" spans="1:4" ht="15" x14ac:dyDescent="0.2">
      <c r="A95" s="1">
        <v>93</v>
      </c>
      <c r="B95" s="3">
        <f t="shared" ca="1" si="6"/>
        <v>0.28667747416550804</v>
      </c>
      <c r="C95" s="3">
        <f t="shared" ca="1" si="4"/>
        <v>28.310647819926277</v>
      </c>
      <c r="D95" s="2">
        <f t="shared" ca="1" si="5"/>
        <v>28</v>
      </c>
    </row>
    <row r="96" spans="1:4" ht="15" x14ac:dyDescent="0.2">
      <c r="A96" s="1">
        <v>94</v>
      </c>
      <c r="B96" s="3">
        <f t="shared" ca="1" si="6"/>
        <v>0.27335022013807786</v>
      </c>
      <c r="C96" s="3">
        <f t="shared" ca="1" si="4"/>
        <v>28.191864645200365</v>
      </c>
      <c r="D96" s="2">
        <f t="shared" ca="1" si="5"/>
        <v>28</v>
      </c>
    </row>
    <row r="97" spans="1:4" ht="15" x14ac:dyDescent="0.2">
      <c r="A97" s="1">
        <v>95</v>
      </c>
      <c r="B97" s="3">
        <f t="shared" ca="1" si="6"/>
        <v>0.38555357242096966</v>
      </c>
      <c r="C97" s="3">
        <f t="shared" ca="1" si="4"/>
        <v>29.12721897582184</v>
      </c>
      <c r="D97" s="2">
        <f t="shared" ca="1" si="5"/>
        <v>29</v>
      </c>
    </row>
    <row r="98" spans="1:4" ht="15" x14ac:dyDescent="0.2">
      <c r="A98" s="1">
        <v>96</v>
      </c>
      <c r="B98" s="3">
        <f t="shared" ca="1" si="6"/>
        <v>0.5432981609406059</v>
      </c>
      <c r="C98" s="3">
        <f t="shared" ca="1" si="4"/>
        <v>30.326239048941588</v>
      </c>
      <c r="D98" s="2">
        <f t="shared" ca="1" si="5"/>
        <v>30</v>
      </c>
    </row>
    <row r="99" spans="1:4" ht="15" x14ac:dyDescent="0.2">
      <c r="A99" s="1">
        <v>97</v>
      </c>
      <c r="B99" s="3">
        <f t="shared" ca="1" si="6"/>
        <v>0.14022071792103752</v>
      </c>
      <c r="C99" s="3">
        <f t="shared" ca="1" si="4"/>
        <v>26.76201533196604</v>
      </c>
      <c r="D99" s="2">
        <f t="shared" ca="1" si="5"/>
        <v>27</v>
      </c>
    </row>
    <row r="100" spans="1:4" ht="15" x14ac:dyDescent="0.2">
      <c r="A100" s="1">
        <v>98</v>
      </c>
      <c r="B100" s="3">
        <f t="shared" ca="1" si="6"/>
        <v>0.70236977164621395</v>
      </c>
      <c r="C100" s="3">
        <f t="shared" ca="1" si="4"/>
        <v>31.593685452105685</v>
      </c>
      <c r="D100" s="2">
        <f t="shared" ca="1" si="5"/>
        <v>32</v>
      </c>
    </row>
    <row r="101" spans="1:4" ht="15" x14ac:dyDescent="0.2">
      <c r="A101" s="1">
        <v>99</v>
      </c>
      <c r="B101" s="3">
        <f t="shared" ca="1" si="6"/>
        <v>0.77717881221636298</v>
      </c>
      <c r="C101" s="3">
        <f t="shared" ca="1" si="4"/>
        <v>32.288099773763122</v>
      </c>
      <c r="D101" s="2">
        <f t="shared" ca="1" si="5"/>
        <v>32</v>
      </c>
    </row>
    <row r="102" spans="1:4" ht="15" x14ac:dyDescent="0.2">
      <c r="A102" s="1">
        <v>100</v>
      </c>
      <c r="B102" s="3">
        <f t="shared" ca="1" si="6"/>
        <v>2.4131306707649958E-2</v>
      </c>
      <c r="C102" s="3">
        <f t="shared" ca="1" si="4"/>
        <v>24.07485368196955</v>
      </c>
      <c r="D102" s="2">
        <f t="shared" ca="1" si="5"/>
        <v>24</v>
      </c>
    </row>
    <row r="103" spans="1:4" ht="15" x14ac:dyDescent="0.2">
      <c r="A103" s="1">
        <v>101</v>
      </c>
      <c r="B103" s="3">
        <f t="shared" ca="1" si="6"/>
        <v>0.97078163014273355</v>
      </c>
      <c r="C103" s="3">
        <f t="shared" ca="1" si="4"/>
        <v>35.677221774587714</v>
      </c>
      <c r="D103" s="2">
        <f t="shared" ca="1" si="5"/>
        <v>36</v>
      </c>
    </row>
    <row r="104" spans="1:4" ht="15" x14ac:dyDescent="0.2">
      <c r="A104" s="1">
        <v>102</v>
      </c>
      <c r="B104" s="3">
        <f t="shared" ca="1" si="6"/>
        <v>0.65501251038764174</v>
      </c>
      <c r="C104" s="3">
        <f t="shared" ca="1" si="4"/>
        <v>31.196667063065735</v>
      </c>
      <c r="D104" s="2">
        <f t="shared" ca="1" si="5"/>
        <v>31</v>
      </c>
    </row>
    <row r="105" spans="1:4" ht="15" x14ac:dyDescent="0.2">
      <c r="A105" s="1">
        <v>103</v>
      </c>
      <c r="B105" s="3">
        <f t="shared" ca="1" si="6"/>
        <v>0.12685920932746975</v>
      </c>
      <c r="C105" s="3">
        <f t="shared" ca="1" si="4"/>
        <v>26.575907563090333</v>
      </c>
      <c r="D105" s="2">
        <f t="shared" ca="1" si="5"/>
        <v>27</v>
      </c>
    </row>
    <row r="106" spans="1:4" ht="15" x14ac:dyDescent="0.2">
      <c r="A106" s="1">
        <v>104</v>
      </c>
      <c r="B106" s="3">
        <f t="shared" ca="1" si="6"/>
        <v>0.63352645616971026</v>
      </c>
      <c r="C106" s="3">
        <f t="shared" ca="1" si="4"/>
        <v>31.023623655265943</v>
      </c>
      <c r="D106" s="2">
        <f t="shared" ca="1" si="5"/>
        <v>31</v>
      </c>
    </row>
    <row r="107" spans="1:4" ht="15" x14ac:dyDescent="0.2">
      <c r="A107" s="1">
        <v>105</v>
      </c>
      <c r="B107" s="3">
        <f t="shared" ca="1" si="6"/>
        <v>0.47725229031271776</v>
      </c>
      <c r="C107" s="3">
        <f t="shared" ca="1" si="4"/>
        <v>29.828847043255259</v>
      </c>
      <c r="D107" s="2">
        <f t="shared" ca="1" si="5"/>
        <v>30</v>
      </c>
    </row>
    <row r="108" spans="1:4" ht="15" x14ac:dyDescent="0.2">
      <c r="A108" s="1">
        <v>106</v>
      </c>
      <c r="B108" s="3">
        <f t="shared" ca="1" si="6"/>
        <v>0.72618251956250723</v>
      </c>
      <c r="C108" s="3">
        <f t="shared" ca="1" si="4"/>
        <v>31.803923555284424</v>
      </c>
      <c r="D108" s="2">
        <f t="shared" ca="1" si="5"/>
        <v>32</v>
      </c>
    </row>
    <row r="109" spans="1:4" ht="15" x14ac:dyDescent="0.2">
      <c r="A109" s="1">
        <v>107</v>
      </c>
      <c r="B109" s="3">
        <f t="shared" ca="1" si="6"/>
        <v>0.21314335957601904</v>
      </c>
      <c r="C109" s="3">
        <f t="shared" ca="1" si="4"/>
        <v>27.613314300514627</v>
      </c>
      <c r="D109" s="2">
        <f t="shared" ca="1" si="5"/>
        <v>28</v>
      </c>
    </row>
    <row r="110" spans="1:4" ht="15" x14ac:dyDescent="0.2">
      <c r="A110" s="1">
        <v>108</v>
      </c>
      <c r="B110" s="3">
        <f t="shared" ca="1" si="6"/>
        <v>0.18340726268300556</v>
      </c>
      <c r="C110" s="3">
        <f t="shared" ca="1" si="4"/>
        <v>27.292631099784167</v>
      </c>
      <c r="D110" s="2">
        <f t="shared" ca="1" si="5"/>
        <v>27</v>
      </c>
    </row>
    <row r="111" spans="1:4" ht="15" x14ac:dyDescent="0.2">
      <c r="A111" s="1">
        <v>109</v>
      </c>
      <c r="B111" s="3">
        <f t="shared" ca="1" si="6"/>
        <v>0.73576348777395595</v>
      </c>
      <c r="C111" s="3">
        <f t="shared" ca="1" si="4"/>
        <v>31.891016024536562</v>
      </c>
      <c r="D111" s="2">
        <f t="shared" ca="1" si="5"/>
        <v>32</v>
      </c>
    </row>
    <row r="112" spans="1:4" ht="15" x14ac:dyDescent="0.2">
      <c r="A112" s="1">
        <v>110</v>
      </c>
      <c r="B112" s="3">
        <f t="shared" ca="1" si="6"/>
        <v>0.1118398412583943</v>
      </c>
      <c r="C112" s="3">
        <f t="shared" ca="1" si="4"/>
        <v>26.349594974415993</v>
      </c>
      <c r="D112" s="2">
        <f t="shared" ca="1" si="5"/>
        <v>26</v>
      </c>
    </row>
    <row r="113" spans="1:4" ht="15" x14ac:dyDescent="0.2">
      <c r="A113" s="1">
        <v>111</v>
      </c>
      <c r="B113" s="3">
        <f t="shared" ca="1" si="6"/>
        <v>0.2923780133677496</v>
      </c>
      <c r="C113" s="3">
        <f t="shared" ca="1" si="4"/>
        <v>28.360647285991494</v>
      </c>
      <c r="D113" s="2">
        <f t="shared" ca="1" si="5"/>
        <v>28</v>
      </c>
    </row>
    <row r="114" spans="1:4" ht="15" x14ac:dyDescent="0.2">
      <c r="A114" s="1">
        <v>112</v>
      </c>
      <c r="B114" s="3">
        <f t="shared" ca="1" si="6"/>
        <v>0.8784727547994361</v>
      </c>
      <c r="C114" s="3">
        <f t="shared" ca="1" si="4"/>
        <v>33.502158237123524</v>
      </c>
      <c r="D114" s="2">
        <f t="shared" ca="1" si="5"/>
        <v>34</v>
      </c>
    </row>
    <row r="115" spans="1:4" ht="15" x14ac:dyDescent="0.2">
      <c r="A115" s="1">
        <v>113</v>
      </c>
      <c r="B115" s="3">
        <f t="shared" ca="1" si="6"/>
        <v>2.3102169882767365E-2</v>
      </c>
      <c r="C115" s="3">
        <f t="shared" ca="1" si="4"/>
        <v>24.019434625515359</v>
      </c>
      <c r="D115" s="2">
        <f t="shared" ca="1" si="5"/>
        <v>24</v>
      </c>
    </row>
    <row r="116" spans="1:4" ht="15" x14ac:dyDescent="0.2">
      <c r="A116" s="1">
        <v>114</v>
      </c>
      <c r="B116" s="3">
        <f t="shared" ca="1" si="6"/>
        <v>0.488783425441495</v>
      </c>
      <c r="C116" s="3">
        <f t="shared" ca="1" si="4"/>
        <v>29.915641535401239</v>
      </c>
      <c r="D116" s="2">
        <f t="shared" ca="1" si="5"/>
        <v>30</v>
      </c>
    </row>
    <row r="117" spans="1:4" ht="15" x14ac:dyDescent="0.2">
      <c r="A117" s="1">
        <v>115</v>
      </c>
      <c r="B117" s="3">
        <f t="shared" ca="1" si="6"/>
        <v>4.5446793193496982E-2</v>
      </c>
      <c r="C117" s="3">
        <f t="shared" ref="C117:C180" ca="1" si="7">_xlfn.NORM.INV(B117,$I$3,$J$3)</f>
        <v>24.927891711605387</v>
      </c>
      <c r="D117" s="2">
        <f t="shared" ref="D117:D180" ca="1" si="8">ROUND(_xlfn.NORM.INV(B117,$I$3,$J$3),0)</f>
        <v>25</v>
      </c>
    </row>
    <row r="118" spans="1:4" ht="15" x14ac:dyDescent="0.2">
      <c r="A118" s="1">
        <v>116</v>
      </c>
      <c r="B118" s="3">
        <f t="shared" ca="1" si="6"/>
        <v>0.32456235525237676</v>
      </c>
      <c r="C118" s="3">
        <f t="shared" ca="1" si="7"/>
        <v>28.635064516550326</v>
      </c>
      <c r="D118" s="2">
        <f t="shared" ca="1" si="8"/>
        <v>29</v>
      </c>
    </row>
    <row r="119" spans="1:4" ht="15" x14ac:dyDescent="0.2">
      <c r="A119" s="1">
        <v>117</v>
      </c>
      <c r="B119" s="3">
        <f t="shared" ca="1" si="6"/>
        <v>0.29671527068772652</v>
      </c>
      <c r="C119" s="3">
        <f t="shared" ca="1" si="7"/>
        <v>28.398385933764018</v>
      </c>
      <c r="D119" s="2">
        <f t="shared" ca="1" si="8"/>
        <v>28</v>
      </c>
    </row>
    <row r="120" spans="1:4" ht="15" x14ac:dyDescent="0.2">
      <c r="A120" s="1">
        <v>118</v>
      </c>
      <c r="B120" s="3">
        <f t="shared" ca="1" si="6"/>
        <v>0.98336317671906248</v>
      </c>
      <c r="C120" s="3">
        <f t="shared" ca="1" si="7"/>
        <v>36.386297226837918</v>
      </c>
      <c r="D120" s="2">
        <f t="shared" ca="1" si="8"/>
        <v>36</v>
      </c>
    </row>
    <row r="121" spans="1:4" ht="15" x14ac:dyDescent="0.2">
      <c r="A121" s="1">
        <v>119</v>
      </c>
      <c r="B121" s="3">
        <f t="shared" ca="1" si="6"/>
        <v>0.6063154835442125</v>
      </c>
      <c r="C121" s="3">
        <f t="shared" ca="1" si="7"/>
        <v>30.809185890589209</v>
      </c>
      <c r="D121" s="2">
        <f t="shared" ca="1" si="8"/>
        <v>31</v>
      </c>
    </row>
    <row r="122" spans="1:4" ht="15" x14ac:dyDescent="0.2">
      <c r="A122" s="1">
        <v>120</v>
      </c>
      <c r="B122" s="3">
        <f t="shared" ca="1" si="6"/>
        <v>0.99390862999454666</v>
      </c>
      <c r="C122" s="3">
        <f t="shared" ca="1" si="7"/>
        <v>37.520419359496884</v>
      </c>
      <c r="D122" s="2">
        <f t="shared" ca="1" si="8"/>
        <v>38</v>
      </c>
    </row>
    <row r="123" spans="1:4" ht="15" x14ac:dyDescent="0.2">
      <c r="A123" s="1">
        <v>121</v>
      </c>
      <c r="B123" s="3">
        <f t="shared" ca="1" si="6"/>
        <v>9.5540349417143844E-2</v>
      </c>
      <c r="C123" s="3">
        <f t="shared" ca="1" si="7"/>
        <v>26.07783359693445</v>
      </c>
      <c r="D123" s="2">
        <f t="shared" ca="1" si="8"/>
        <v>26</v>
      </c>
    </row>
    <row r="124" spans="1:4" ht="15" x14ac:dyDescent="0.2">
      <c r="A124" s="1">
        <v>122</v>
      </c>
      <c r="B124" s="3">
        <f t="shared" ca="1" si="6"/>
        <v>0.18465561377352202</v>
      </c>
      <c r="C124" s="3">
        <f t="shared" ca="1" si="7"/>
        <v>27.306707136383029</v>
      </c>
      <c r="D124" s="2">
        <f t="shared" ca="1" si="8"/>
        <v>27</v>
      </c>
    </row>
    <row r="125" spans="1:4" ht="15" x14ac:dyDescent="0.2">
      <c r="A125" s="1">
        <v>123</v>
      </c>
      <c r="B125" s="3">
        <f t="shared" ca="1" si="6"/>
        <v>6.9194228119146439E-2</v>
      </c>
      <c r="C125" s="3">
        <f t="shared" ca="1" si="7"/>
        <v>25.554542933474664</v>
      </c>
      <c r="D125" s="2">
        <f t="shared" ca="1" si="8"/>
        <v>26</v>
      </c>
    </row>
    <row r="126" spans="1:4" ht="15" x14ac:dyDescent="0.2">
      <c r="A126" s="1">
        <v>124</v>
      </c>
      <c r="B126" s="3">
        <f t="shared" ca="1" si="6"/>
        <v>0.58808154725782991</v>
      </c>
      <c r="C126" s="3">
        <f t="shared" ca="1" si="7"/>
        <v>30.667838276573516</v>
      </c>
      <c r="D126" s="2">
        <f t="shared" ca="1" si="8"/>
        <v>31</v>
      </c>
    </row>
    <row r="127" spans="1:4" ht="15" x14ac:dyDescent="0.2">
      <c r="A127" s="1">
        <v>125</v>
      </c>
      <c r="B127" s="3">
        <f t="shared" ca="1" si="6"/>
        <v>0.65813494279649276</v>
      </c>
      <c r="C127" s="3">
        <f t="shared" ca="1" si="7"/>
        <v>31.222135095617222</v>
      </c>
      <c r="D127" s="2">
        <f t="shared" ca="1" si="8"/>
        <v>31</v>
      </c>
    </row>
    <row r="128" spans="1:4" ht="15" x14ac:dyDescent="0.2">
      <c r="A128" s="1">
        <v>126</v>
      </c>
      <c r="B128" s="3">
        <f t="shared" ca="1" si="6"/>
        <v>0.90864216334797321</v>
      </c>
      <c r="C128" s="3">
        <f t="shared" ca="1" si="7"/>
        <v>33.997319744477252</v>
      </c>
      <c r="D128" s="2">
        <f t="shared" ca="1" si="8"/>
        <v>34</v>
      </c>
    </row>
    <row r="129" spans="1:4" ht="15" x14ac:dyDescent="0.2">
      <c r="A129" s="1">
        <v>127</v>
      </c>
      <c r="B129" s="3">
        <f t="shared" ca="1" si="6"/>
        <v>0.1541586249350092</v>
      </c>
      <c r="C129" s="3">
        <f t="shared" ca="1" si="7"/>
        <v>26.943722084625623</v>
      </c>
      <c r="D129" s="2">
        <f t="shared" ca="1" si="8"/>
        <v>27</v>
      </c>
    </row>
    <row r="130" spans="1:4" ht="15" x14ac:dyDescent="0.2">
      <c r="A130" s="1">
        <v>128</v>
      </c>
      <c r="B130" s="3">
        <f t="shared" ca="1" si="6"/>
        <v>0.84779338330649523</v>
      </c>
      <c r="C130" s="3">
        <f t="shared" ca="1" si="7"/>
        <v>33.081046067660836</v>
      </c>
      <c r="D130" s="2">
        <f t="shared" ca="1" si="8"/>
        <v>33</v>
      </c>
    </row>
    <row r="131" spans="1:4" ht="15" x14ac:dyDescent="0.2">
      <c r="A131" s="1">
        <v>129</v>
      </c>
      <c r="B131" s="3">
        <f t="shared" ca="1" si="6"/>
        <v>0.17816171828617799</v>
      </c>
      <c r="C131" s="3">
        <f t="shared" ca="1" si="7"/>
        <v>27.232819946282415</v>
      </c>
      <c r="D131" s="2">
        <f t="shared" ca="1" si="8"/>
        <v>27</v>
      </c>
    </row>
    <row r="132" spans="1:4" ht="15" x14ac:dyDescent="0.2">
      <c r="A132" s="1">
        <v>130</v>
      </c>
      <c r="B132" s="3">
        <f t="shared" ref="B132:B195" ca="1" si="9">RAND()</f>
        <v>0.40227391806947976</v>
      </c>
      <c r="C132" s="3">
        <f t="shared" ca="1" si="7"/>
        <v>29.257602910059301</v>
      </c>
      <c r="D132" s="2">
        <f t="shared" ca="1" si="8"/>
        <v>29</v>
      </c>
    </row>
    <row r="133" spans="1:4" ht="15" x14ac:dyDescent="0.2">
      <c r="A133" s="1">
        <v>131</v>
      </c>
      <c r="B133" s="3">
        <f t="shared" ca="1" si="9"/>
        <v>1.3732642565037922E-2</v>
      </c>
      <c r="C133" s="3">
        <f t="shared" ca="1" si="7"/>
        <v>23.385478336403658</v>
      </c>
      <c r="D133" s="2">
        <f t="shared" ca="1" si="8"/>
        <v>23</v>
      </c>
    </row>
    <row r="134" spans="1:4" ht="15" x14ac:dyDescent="0.2">
      <c r="A134" s="1">
        <v>132</v>
      </c>
      <c r="B134" s="3">
        <f t="shared" ca="1" si="9"/>
        <v>0.69268218059824049</v>
      </c>
      <c r="C134" s="3">
        <f t="shared" ca="1" si="7"/>
        <v>31.510402439435861</v>
      </c>
      <c r="D134" s="2">
        <f t="shared" ca="1" si="8"/>
        <v>32</v>
      </c>
    </row>
    <row r="135" spans="1:4" ht="15" x14ac:dyDescent="0.2">
      <c r="A135" s="1">
        <v>133</v>
      </c>
      <c r="B135" s="3">
        <f t="shared" ca="1" si="9"/>
        <v>0.59592698313820869</v>
      </c>
      <c r="C135" s="3">
        <f t="shared" ca="1" si="7"/>
        <v>30.728455382878781</v>
      </c>
      <c r="D135" s="2">
        <f t="shared" ca="1" si="8"/>
        <v>31</v>
      </c>
    </row>
    <row r="136" spans="1:4" ht="15" x14ac:dyDescent="0.2">
      <c r="A136" s="1">
        <v>134</v>
      </c>
      <c r="B136" s="3">
        <f t="shared" ca="1" si="9"/>
        <v>0.6368907777145274</v>
      </c>
      <c r="C136" s="3">
        <f t="shared" ca="1" si="7"/>
        <v>31.050480717697891</v>
      </c>
      <c r="D136" s="2">
        <f t="shared" ca="1" si="8"/>
        <v>31</v>
      </c>
    </row>
    <row r="137" spans="1:4" ht="15" x14ac:dyDescent="0.2">
      <c r="A137" s="1">
        <v>135</v>
      </c>
      <c r="B137" s="3">
        <f t="shared" ca="1" si="9"/>
        <v>0.31783353344091714</v>
      </c>
      <c r="C137" s="3">
        <f t="shared" ca="1" si="7"/>
        <v>28.578703195875626</v>
      </c>
      <c r="D137" s="2">
        <f t="shared" ca="1" si="8"/>
        <v>29</v>
      </c>
    </row>
    <row r="138" spans="1:4" ht="15" x14ac:dyDescent="0.2">
      <c r="A138" s="1">
        <v>136</v>
      </c>
      <c r="B138" s="3">
        <f t="shared" ca="1" si="9"/>
        <v>0.97036781738621825</v>
      </c>
      <c r="C138" s="3">
        <f t="shared" ca="1" si="7"/>
        <v>35.658681141661937</v>
      </c>
      <c r="D138" s="2">
        <f t="shared" ca="1" si="8"/>
        <v>36</v>
      </c>
    </row>
    <row r="139" spans="1:4" ht="15" x14ac:dyDescent="0.2">
      <c r="A139" s="1">
        <v>137</v>
      </c>
      <c r="B139" s="3">
        <f t="shared" ca="1" si="9"/>
        <v>0.5610149882613803</v>
      </c>
      <c r="C139" s="3">
        <f t="shared" ca="1" si="7"/>
        <v>30.460629227258021</v>
      </c>
      <c r="D139" s="2">
        <f t="shared" ca="1" si="8"/>
        <v>30</v>
      </c>
    </row>
    <row r="140" spans="1:4" ht="15" x14ac:dyDescent="0.2">
      <c r="A140" s="1">
        <v>138</v>
      </c>
      <c r="B140" s="3">
        <f t="shared" ca="1" si="9"/>
        <v>0.1663460416738537</v>
      </c>
      <c r="C140" s="3">
        <f t="shared" ca="1" si="7"/>
        <v>27.093883113669854</v>
      </c>
      <c r="D140" s="2">
        <f t="shared" ca="1" si="8"/>
        <v>27</v>
      </c>
    </row>
    <row r="141" spans="1:4" ht="15" x14ac:dyDescent="0.2">
      <c r="A141" s="1">
        <v>139</v>
      </c>
      <c r="B141" s="3">
        <f t="shared" ca="1" si="9"/>
        <v>0.26577533321697255</v>
      </c>
      <c r="C141" s="3">
        <f t="shared" ca="1" si="7"/>
        <v>28.123078035312709</v>
      </c>
      <c r="D141" s="2">
        <f t="shared" ca="1" si="8"/>
        <v>28</v>
      </c>
    </row>
    <row r="142" spans="1:4" ht="15" x14ac:dyDescent="0.2">
      <c r="A142" s="1">
        <v>140</v>
      </c>
      <c r="B142" s="3">
        <f t="shared" ca="1" si="9"/>
        <v>0.4685090362370733</v>
      </c>
      <c r="C142" s="3">
        <f t="shared" ca="1" si="7"/>
        <v>29.762945119590341</v>
      </c>
      <c r="D142" s="2">
        <f t="shared" ca="1" si="8"/>
        <v>30</v>
      </c>
    </row>
    <row r="143" spans="1:4" ht="15" x14ac:dyDescent="0.2">
      <c r="A143" s="1">
        <v>141</v>
      </c>
      <c r="B143" s="3">
        <f t="shared" ca="1" si="9"/>
        <v>0.39776816179774488</v>
      </c>
      <c r="C143" s="3">
        <f t="shared" ca="1" si="7"/>
        <v>29.222615385774038</v>
      </c>
      <c r="D143" s="2">
        <f t="shared" ca="1" si="8"/>
        <v>29</v>
      </c>
    </row>
    <row r="144" spans="1:4" ht="15" x14ac:dyDescent="0.2">
      <c r="A144" s="1">
        <v>142</v>
      </c>
      <c r="B144" s="3">
        <f t="shared" ca="1" si="9"/>
        <v>0.50562845039540516</v>
      </c>
      <c r="C144" s="3">
        <f t="shared" ca="1" si="7"/>
        <v>30.042326702935092</v>
      </c>
      <c r="D144" s="2">
        <f t="shared" ca="1" si="8"/>
        <v>30</v>
      </c>
    </row>
    <row r="145" spans="1:4" ht="15" x14ac:dyDescent="0.2">
      <c r="A145" s="1">
        <v>143</v>
      </c>
      <c r="B145" s="3">
        <f t="shared" ca="1" si="9"/>
        <v>0.14729047068303613</v>
      </c>
      <c r="C145" s="3">
        <f t="shared" ca="1" si="7"/>
        <v>26.855624491698748</v>
      </c>
      <c r="D145" s="2">
        <f t="shared" ca="1" si="8"/>
        <v>27</v>
      </c>
    </row>
    <row r="146" spans="1:4" ht="15" x14ac:dyDescent="0.2">
      <c r="A146" s="1">
        <v>144</v>
      </c>
      <c r="B146" s="3">
        <f t="shared" ca="1" si="9"/>
        <v>0.51700932822523904</v>
      </c>
      <c r="C146" s="3">
        <f t="shared" ca="1" si="7"/>
        <v>30.127946966500851</v>
      </c>
      <c r="D146" s="2">
        <f t="shared" ca="1" si="8"/>
        <v>30</v>
      </c>
    </row>
    <row r="147" spans="1:4" ht="15" x14ac:dyDescent="0.2">
      <c r="A147" s="1">
        <v>145</v>
      </c>
      <c r="B147" s="3">
        <f t="shared" ca="1" si="9"/>
        <v>0.18060234271069919</v>
      </c>
      <c r="C147" s="3">
        <f t="shared" ca="1" si="7"/>
        <v>27.260784057183777</v>
      </c>
      <c r="D147" s="2">
        <f t="shared" ca="1" si="8"/>
        <v>27</v>
      </c>
    </row>
    <row r="148" spans="1:4" ht="15" x14ac:dyDescent="0.2">
      <c r="A148" s="1">
        <v>146</v>
      </c>
      <c r="B148" s="3">
        <f t="shared" ca="1" si="9"/>
        <v>0.53328472746319</v>
      </c>
      <c r="C148" s="3">
        <f t="shared" ca="1" si="7"/>
        <v>30.250588411960482</v>
      </c>
      <c r="D148" s="2">
        <f t="shared" ca="1" si="8"/>
        <v>30</v>
      </c>
    </row>
    <row r="149" spans="1:4" ht="15" x14ac:dyDescent="0.2">
      <c r="A149" s="1">
        <v>147</v>
      </c>
      <c r="B149" s="3">
        <f t="shared" ca="1" si="9"/>
        <v>0.41743801268361225</v>
      </c>
      <c r="C149" s="3">
        <f t="shared" ca="1" si="7"/>
        <v>29.374643875354259</v>
      </c>
      <c r="D149" s="2">
        <f t="shared" ca="1" si="8"/>
        <v>29</v>
      </c>
    </row>
    <row r="150" spans="1:4" ht="15" x14ac:dyDescent="0.2">
      <c r="A150" s="1">
        <v>148</v>
      </c>
      <c r="B150" s="3">
        <f t="shared" ca="1" si="9"/>
        <v>0.60083067807404134</v>
      </c>
      <c r="C150" s="3">
        <f t="shared" ca="1" si="7"/>
        <v>30.766493395081127</v>
      </c>
      <c r="D150" s="2">
        <f t="shared" ca="1" si="8"/>
        <v>31</v>
      </c>
    </row>
    <row r="151" spans="1:4" ht="15" x14ac:dyDescent="0.2">
      <c r="A151" s="1">
        <v>149</v>
      </c>
      <c r="B151" s="3">
        <f t="shared" ca="1" si="9"/>
        <v>0.76641035404759439</v>
      </c>
      <c r="C151" s="3">
        <f t="shared" ca="1" si="7"/>
        <v>32.181228529523601</v>
      </c>
      <c r="D151" s="2">
        <f t="shared" ca="1" si="8"/>
        <v>32</v>
      </c>
    </row>
    <row r="152" spans="1:4" ht="15" x14ac:dyDescent="0.2">
      <c r="A152" s="1">
        <v>150</v>
      </c>
      <c r="B152" s="3">
        <f t="shared" ca="1" si="9"/>
        <v>0.27811617055927718</v>
      </c>
      <c r="C152" s="3">
        <f t="shared" ca="1" si="7"/>
        <v>28.23465919085152</v>
      </c>
      <c r="D152" s="2">
        <f t="shared" ca="1" si="8"/>
        <v>28</v>
      </c>
    </row>
    <row r="153" spans="1:4" ht="15" x14ac:dyDescent="0.2">
      <c r="A153" s="1">
        <v>151</v>
      </c>
      <c r="B153" s="3">
        <f t="shared" ca="1" si="9"/>
        <v>0.48745105102050401</v>
      </c>
      <c r="C153" s="3">
        <f t="shared" ca="1" si="7"/>
        <v>29.905617781748742</v>
      </c>
      <c r="D153" s="2">
        <f t="shared" ca="1" si="8"/>
        <v>30</v>
      </c>
    </row>
    <row r="154" spans="1:4" ht="15" x14ac:dyDescent="0.2">
      <c r="A154" s="1">
        <v>152</v>
      </c>
      <c r="B154" s="3">
        <f t="shared" ca="1" si="9"/>
        <v>0.58175016958478265</v>
      </c>
      <c r="C154" s="3">
        <f t="shared" ca="1" si="7"/>
        <v>30.619118611770581</v>
      </c>
      <c r="D154" s="2">
        <f t="shared" ca="1" si="8"/>
        <v>31</v>
      </c>
    </row>
    <row r="155" spans="1:4" ht="15" x14ac:dyDescent="0.2">
      <c r="A155" s="1">
        <v>153</v>
      </c>
      <c r="B155" s="3">
        <f t="shared" ca="1" si="9"/>
        <v>0.444714861599256</v>
      </c>
      <c r="C155" s="3">
        <f t="shared" ca="1" si="7"/>
        <v>29.582922454321125</v>
      </c>
      <c r="D155" s="2">
        <f t="shared" ca="1" si="8"/>
        <v>30</v>
      </c>
    </row>
    <row r="156" spans="1:4" ht="15" x14ac:dyDescent="0.2">
      <c r="A156" s="1">
        <v>154</v>
      </c>
      <c r="B156" s="3">
        <f t="shared" ca="1" si="9"/>
        <v>0.50674844164146504</v>
      </c>
      <c r="C156" s="3">
        <f t="shared" ca="1" si="7"/>
        <v>30.050749924321646</v>
      </c>
      <c r="D156" s="2">
        <f t="shared" ca="1" si="8"/>
        <v>30</v>
      </c>
    </row>
    <row r="157" spans="1:4" ht="15" x14ac:dyDescent="0.2">
      <c r="A157" s="1">
        <v>155</v>
      </c>
      <c r="B157" s="3">
        <f t="shared" ca="1" si="9"/>
        <v>0.98435731119097536</v>
      </c>
      <c r="C157" s="3">
        <f t="shared" ca="1" si="7"/>
        <v>36.460271750388578</v>
      </c>
      <c r="D157" s="2">
        <f t="shared" ca="1" si="8"/>
        <v>36</v>
      </c>
    </row>
    <row r="158" spans="1:4" ht="15" x14ac:dyDescent="0.2">
      <c r="A158" s="1">
        <v>156</v>
      </c>
      <c r="B158" s="3">
        <f t="shared" ca="1" si="9"/>
        <v>0.80221506465733106</v>
      </c>
      <c r="C158" s="3">
        <f t="shared" ca="1" si="7"/>
        <v>32.548679395891909</v>
      </c>
      <c r="D158" s="2">
        <f t="shared" ca="1" si="8"/>
        <v>33</v>
      </c>
    </row>
    <row r="159" spans="1:4" ht="15" x14ac:dyDescent="0.2">
      <c r="A159" s="1">
        <v>157</v>
      </c>
      <c r="B159" s="3">
        <f t="shared" ca="1" si="9"/>
        <v>0.98650803567218892</v>
      </c>
      <c r="C159" s="3">
        <f t="shared" ca="1" si="7"/>
        <v>36.635250649631097</v>
      </c>
      <c r="D159" s="2">
        <f t="shared" ca="1" si="8"/>
        <v>37</v>
      </c>
    </row>
    <row r="160" spans="1:4" ht="15" x14ac:dyDescent="0.2">
      <c r="A160" s="1">
        <v>158</v>
      </c>
      <c r="B160" s="3">
        <f t="shared" ca="1" si="9"/>
        <v>0.92439385840908495</v>
      </c>
      <c r="C160" s="3">
        <f t="shared" ca="1" si="7"/>
        <v>34.305787777074656</v>
      </c>
      <c r="D160" s="2">
        <f t="shared" ca="1" si="8"/>
        <v>34</v>
      </c>
    </row>
    <row r="161" spans="1:4" ht="15" x14ac:dyDescent="0.2">
      <c r="A161" s="1">
        <v>159</v>
      </c>
      <c r="B161" s="3">
        <f t="shared" ca="1" si="9"/>
        <v>6.3737321005893688E-2</v>
      </c>
      <c r="C161" s="3">
        <f t="shared" ca="1" si="7"/>
        <v>25.427590806258316</v>
      </c>
      <c r="D161" s="2">
        <f t="shared" ca="1" si="8"/>
        <v>25</v>
      </c>
    </row>
    <row r="162" spans="1:4" ht="15" x14ac:dyDescent="0.2">
      <c r="A162" s="1">
        <v>160</v>
      </c>
      <c r="B162" s="3">
        <f t="shared" ca="1" si="9"/>
        <v>9.952043752334605E-3</v>
      </c>
      <c r="C162" s="3">
        <f t="shared" ca="1" si="7"/>
        <v>23.015547027577213</v>
      </c>
      <c r="D162" s="2">
        <f t="shared" ca="1" si="8"/>
        <v>23</v>
      </c>
    </row>
    <row r="163" spans="1:4" ht="15" x14ac:dyDescent="0.2">
      <c r="A163" s="1">
        <v>161</v>
      </c>
      <c r="B163" s="3">
        <f t="shared" ca="1" si="9"/>
        <v>1.6332771312364436E-2</v>
      </c>
      <c r="C163" s="3">
        <f t="shared" ca="1" si="7"/>
        <v>23.591489368722279</v>
      </c>
      <c r="D163" s="2">
        <f t="shared" ca="1" si="8"/>
        <v>24</v>
      </c>
    </row>
    <row r="164" spans="1:4" ht="15" x14ac:dyDescent="0.2">
      <c r="A164" s="1">
        <v>162</v>
      </c>
      <c r="B164" s="3">
        <f t="shared" ca="1" si="9"/>
        <v>0.76350892657940939</v>
      </c>
      <c r="C164" s="3">
        <f t="shared" ca="1" si="7"/>
        <v>32.152906090938394</v>
      </c>
      <c r="D164" s="2">
        <f t="shared" ca="1" si="8"/>
        <v>32</v>
      </c>
    </row>
    <row r="165" spans="1:4" ht="15" x14ac:dyDescent="0.2">
      <c r="A165" s="1">
        <v>163</v>
      </c>
      <c r="B165" s="3">
        <f t="shared" ca="1" si="9"/>
        <v>0.16469735495742477</v>
      </c>
      <c r="C165" s="3">
        <f t="shared" ca="1" si="7"/>
        <v>27.073998601879378</v>
      </c>
      <c r="D165" s="2">
        <f t="shared" ca="1" si="8"/>
        <v>27</v>
      </c>
    </row>
    <row r="166" spans="1:4" ht="15" x14ac:dyDescent="0.2">
      <c r="A166" s="1">
        <v>164</v>
      </c>
      <c r="B166" s="3">
        <f t="shared" ca="1" si="9"/>
        <v>2.8862921099099936E-2</v>
      </c>
      <c r="C166" s="3">
        <f t="shared" ca="1" si="7"/>
        <v>24.306677603439876</v>
      </c>
      <c r="D166" s="2">
        <f t="shared" ca="1" si="8"/>
        <v>24</v>
      </c>
    </row>
    <row r="167" spans="1:4" ht="15" x14ac:dyDescent="0.2">
      <c r="A167" s="1">
        <v>165</v>
      </c>
      <c r="B167" s="3">
        <f t="shared" ca="1" si="9"/>
        <v>0.35122549894014488</v>
      </c>
      <c r="C167" s="3">
        <f t="shared" ca="1" si="7"/>
        <v>28.853958071227812</v>
      </c>
      <c r="D167" s="2">
        <f t="shared" ca="1" si="8"/>
        <v>29</v>
      </c>
    </row>
    <row r="168" spans="1:4" ht="15" x14ac:dyDescent="0.2">
      <c r="A168" s="1">
        <v>166</v>
      </c>
      <c r="B168" s="3">
        <f t="shared" ca="1" si="9"/>
        <v>4.2950670122594348E-2</v>
      </c>
      <c r="C168" s="3">
        <f t="shared" ca="1" si="7"/>
        <v>24.847721601564203</v>
      </c>
      <c r="D168" s="2">
        <f t="shared" ca="1" si="8"/>
        <v>25</v>
      </c>
    </row>
    <row r="169" spans="1:4" ht="15" x14ac:dyDescent="0.2">
      <c r="A169" s="1">
        <v>167</v>
      </c>
      <c r="B169" s="3">
        <f t="shared" ca="1" si="9"/>
        <v>0.47804729508620014</v>
      </c>
      <c r="C169" s="3">
        <f t="shared" ca="1" si="7"/>
        <v>29.834834787763516</v>
      </c>
      <c r="D169" s="2">
        <f t="shared" ca="1" si="8"/>
        <v>30</v>
      </c>
    </row>
    <row r="170" spans="1:4" ht="15" x14ac:dyDescent="0.2">
      <c r="A170" s="1">
        <v>168</v>
      </c>
      <c r="B170" s="3">
        <f t="shared" ca="1" si="9"/>
        <v>0.4866574443279319</v>
      </c>
      <c r="C170" s="3">
        <f t="shared" ca="1" si="7"/>
        <v>29.899646805799193</v>
      </c>
      <c r="D170" s="2">
        <f t="shared" ca="1" si="8"/>
        <v>30</v>
      </c>
    </row>
    <row r="171" spans="1:4" ht="15" x14ac:dyDescent="0.2">
      <c r="A171" s="1">
        <v>169</v>
      </c>
      <c r="B171" s="3">
        <f t="shared" ca="1" si="9"/>
        <v>0.22531581601785744</v>
      </c>
      <c r="C171" s="3">
        <f t="shared" ca="1" si="7"/>
        <v>27.736912747107915</v>
      </c>
      <c r="D171" s="2">
        <f t="shared" ca="1" si="8"/>
        <v>28</v>
      </c>
    </row>
    <row r="172" spans="1:4" ht="15" x14ac:dyDescent="0.2">
      <c r="A172" s="1">
        <v>170</v>
      </c>
      <c r="B172" s="3">
        <f t="shared" ca="1" si="9"/>
        <v>0.97389403160568833</v>
      </c>
      <c r="C172" s="3">
        <f t="shared" ca="1" si="7"/>
        <v>35.824146573439279</v>
      </c>
      <c r="D172" s="2">
        <f t="shared" ca="1" si="8"/>
        <v>36</v>
      </c>
    </row>
    <row r="173" spans="1:4" ht="15" x14ac:dyDescent="0.2">
      <c r="A173" s="1">
        <v>171</v>
      </c>
      <c r="B173" s="3">
        <f t="shared" ca="1" si="9"/>
        <v>0.70840268199443068</v>
      </c>
      <c r="C173" s="3">
        <f t="shared" ca="1" si="7"/>
        <v>31.646173036860894</v>
      </c>
      <c r="D173" s="2">
        <f t="shared" ca="1" si="8"/>
        <v>32</v>
      </c>
    </row>
    <row r="174" spans="1:4" ht="15" x14ac:dyDescent="0.2">
      <c r="A174" s="1">
        <v>172</v>
      </c>
      <c r="B174" s="3">
        <f t="shared" ca="1" si="9"/>
        <v>6.0560851519148251E-2</v>
      </c>
      <c r="C174" s="3">
        <f t="shared" ca="1" si="7"/>
        <v>25.349752340657414</v>
      </c>
      <c r="D174" s="2">
        <f t="shared" ca="1" si="8"/>
        <v>25</v>
      </c>
    </row>
    <row r="175" spans="1:4" ht="15" x14ac:dyDescent="0.2">
      <c r="A175" s="1">
        <v>173</v>
      </c>
      <c r="B175" s="3">
        <f t="shared" ca="1" si="9"/>
        <v>0.60439007906746278</v>
      </c>
      <c r="C175" s="3">
        <f t="shared" ca="1" si="7"/>
        <v>30.794180744805924</v>
      </c>
      <c r="D175" s="2">
        <f t="shared" ca="1" si="8"/>
        <v>31</v>
      </c>
    </row>
    <row r="176" spans="1:4" ht="15" x14ac:dyDescent="0.2">
      <c r="A176" s="1">
        <v>174</v>
      </c>
      <c r="B176" s="3">
        <f t="shared" ca="1" si="9"/>
        <v>0.70244159126023342</v>
      </c>
      <c r="C176" s="3">
        <f t="shared" ca="1" si="7"/>
        <v>31.594307405624114</v>
      </c>
      <c r="D176" s="2">
        <f t="shared" ca="1" si="8"/>
        <v>32</v>
      </c>
    </row>
    <row r="177" spans="1:4" ht="15" x14ac:dyDescent="0.2">
      <c r="A177" s="1">
        <v>175</v>
      </c>
      <c r="B177" s="3">
        <f t="shared" ca="1" si="9"/>
        <v>0.50217829395072322</v>
      </c>
      <c r="C177" s="3">
        <f t="shared" ca="1" si="7"/>
        <v>30.016380601016284</v>
      </c>
      <c r="D177" s="2">
        <f t="shared" ca="1" si="8"/>
        <v>30</v>
      </c>
    </row>
    <row r="178" spans="1:4" ht="15" x14ac:dyDescent="0.2">
      <c r="A178" s="1">
        <v>176</v>
      </c>
      <c r="B178" s="3">
        <f t="shared" ca="1" si="9"/>
        <v>0.50124938151255483</v>
      </c>
      <c r="C178" s="3">
        <f t="shared" ca="1" si="7"/>
        <v>30.009395220433227</v>
      </c>
      <c r="D178" s="2">
        <f t="shared" ca="1" si="8"/>
        <v>30</v>
      </c>
    </row>
    <row r="179" spans="1:4" ht="15" x14ac:dyDescent="0.2">
      <c r="A179" s="1">
        <v>177</v>
      </c>
      <c r="B179" s="3">
        <f t="shared" ca="1" si="9"/>
        <v>0.95196008765459461</v>
      </c>
      <c r="C179" s="3">
        <f t="shared" ca="1" si="7"/>
        <v>34.99248952908971</v>
      </c>
      <c r="D179" s="2">
        <f t="shared" ca="1" si="8"/>
        <v>35</v>
      </c>
    </row>
    <row r="180" spans="1:4" ht="15" x14ac:dyDescent="0.2">
      <c r="A180" s="1">
        <v>178</v>
      </c>
      <c r="B180" s="3">
        <f t="shared" ca="1" si="9"/>
        <v>0.85352485444312309</v>
      </c>
      <c r="C180" s="3">
        <f t="shared" ca="1" si="7"/>
        <v>33.155014499926843</v>
      </c>
      <c r="D180" s="2">
        <f t="shared" ca="1" si="8"/>
        <v>33</v>
      </c>
    </row>
    <row r="181" spans="1:4" ht="15" x14ac:dyDescent="0.2">
      <c r="A181" s="1">
        <v>179</v>
      </c>
      <c r="B181" s="3">
        <f t="shared" ca="1" si="9"/>
        <v>0.41446787026946275</v>
      </c>
      <c r="C181" s="3">
        <f t="shared" ref="C181:C244" ca="1" si="10">_xlfn.NORM.INV(B181,$I$3,$J$3)</f>
        <v>29.351799839874857</v>
      </c>
      <c r="D181" s="2">
        <f t="shared" ref="D181:D244" ca="1" si="11">ROUND(_xlfn.NORM.INV(B181,$I$3,$J$3),0)</f>
        <v>29</v>
      </c>
    </row>
    <row r="182" spans="1:4" ht="15" x14ac:dyDescent="0.2">
      <c r="A182" s="1">
        <v>180</v>
      </c>
      <c r="B182" s="3">
        <f t="shared" ca="1" si="9"/>
        <v>0.78848624663253719</v>
      </c>
      <c r="C182" s="3">
        <f t="shared" ca="1" si="10"/>
        <v>32.403539694823394</v>
      </c>
      <c r="D182" s="2">
        <f t="shared" ca="1" si="11"/>
        <v>32</v>
      </c>
    </row>
    <row r="183" spans="1:4" ht="15" x14ac:dyDescent="0.2">
      <c r="A183" s="1">
        <v>181</v>
      </c>
      <c r="B183" s="3">
        <f t="shared" ca="1" si="9"/>
        <v>0.86481644537191971</v>
      </c>
      <c r="C183" s="3">
        <f t="shared" ca="1" si="10"/>
        <v>33.306652613436697</v>
      </c>
      <c r="D183" s="2">
        <f t="shared" ca="1" si="11"/>
        <v>33</v>
      </c>
    </row>
    <row r="184" spans="1:4" ht="15" x14ac:dyDescent="0.2">
      <c r="A184" s="1">
        <v>182</v>
      </c>
      <c r="B184" s="3">
        <f t="shared" ca="1" si="9"/>
        <v>0.52783761275009955</v>
      </c>
      <c r="C184" s="3">
        <f t="shared" ca="1" si="10"/>
        <v>30.209505809228563</v>
      </c>
      <c r="D184" s="2">
        <f t="shared" ca="1" si="11"/>
        <v>30</v>
      </c>
    </row>
    <row r="185" spans="1:4" ht="15" x14ac:dyDescent="0.2">
      <c r="A185" s="1">
        <v>183</v>
      </c>
      <c r="B185" s="3">
        <f t="shared" ca="1" si="9"/>
        <v>0.44248776017289304</v>
      </c>
      <c r="C185" s="3">
        <f t="shared" ca="1" si="10"/>
        <v>29.566005554691095</v>
      </c>
      <c r="D185" s="2">
        <f t="shared" ca="1" si="11"/>
        <v>30</v>
      </c>
    </row>
    <row r="186" spans="1:4" ht="15" x14ac:dyDescent="0.2">
      <c r="A186" s="1">
        <v>184</v>
      </c>
      <c r="B186" s="3">
        <f t="shared" ca="1" si="9"/>
        <v>0.36641617159559359</v>
      </c>
      <c r="C186" s="3">
        <f t="shared" ca="1" si="10"/>
        <v>28.97591904058104</v>
      </c>
      <c r="D186" s="2">
        <f t="shared" ca="1" si="11"/>
        <v>29</v>
      </c>
    </row>
    <row r="187" spans="1:4" ht="15" x14ac:dyDescent="0.2">
      <c r="A187" s="1">
        <v>185</v>
      </c>
      <c r="B187" s="3">
        <f t="shared" ca="1" si="9"/>
        <v>4.5633029120062618E-2</v>
      </c>
      <c r="C187" s="3">
        <f t="shared" ca="1" si="10"/>
        <v>24.933729796734166</v>
      </c>
      <c r="D187" s="2">
        <f t="shared" ca="1" si="11"/>
        <v>25</v>
      </c>
    </row>
    <row r="188" spans="1:4" ht="15" x14ac:dyDescent="0.2">
      <c r="A188" s="1">
        <v>186</v>
      </c>
      <c r="B188" s="3">
        <f t="shared" ca="1" si="9"/>
        <v>0.75177434347198635</v>
      </c>
      <c r="C188" s="3">
        <f t="shared" ca="1" si="10"/>
        <v>32.040251818818618</v>
      </c>
      <c r="D188" s="2">
        <f t="shared" ca="1" si="11"/>
        <v>32</v>
      </c>
    </row>
    <row r="189" spans="1:4" ht="15" x14ac:dyDescent="0.2">
      <c r="A189" s="1">
        <v>187</v>
      </c>
      <c r="B189" s="3">
        <f t="shared" ca="1" si="9"/>
        <v>0.48247599954530296</v>
      </c>
      <c r="C189" s="3">
        <f t="shared" ca="1" si="10"/>
        <v>29.868179128370091</v>
      </c>
      <c r="D189" s="2">
        <f t="shared" ca="1" si="11"/>
        <v>30</v>
      </c>
    </row>
    <row r="190" spans="1:4" ht="15" x14ac:dyDescent="0.2">
      <c r="A190" s="1">
        <v>188</v>
      </c>
      <c r="B190" s="3">
        <f t="shared" ca="1" si="9"/>
        <v>0.78328410712154262</v>
      </c>
      <c r="C190" s="3">
        <f t="shared" ca="1" si="10"/>
        <v>32.349997996571737</v>
      </c>
      <c r="D190" s="2">
        <f t="shared" ca="1" si="11"/>
        <v>32</v>
      </c>
    </row>
    <row r="191" spans="1:4" ht="15" x14ac:dyDescent="0.2">
      <c r="A191" s="1">
        <v>189</v>
      </c>
      <c r="B191" s="3">
        <f t="shared" ca="1" si="9"/>
        <v>0.80032388506298879</v>
      </c>
      <c r="C191" s="3">
        <f t="shared" ca="1" si="10"/>
        <v>32.528336061332148</v>
      </c>
      <c r="D191" s="2">
        <f t="shared" ca="1" si="11"/>
        <v>33</v>
      </c>
    </row>
    <row r="192" spans="1:4" ht="15" x14ac:dyDescent="0.2">
      <c r="A192" s="1">
        <v>190</v>
      </c>
      <c r="B192" s="3">
        <f t="shared" ca="1" si="9"/>
        <v>0.15935600799883232</v>
      </c>
      <c r="C192" s="3">
        <f t="shared" ca="1" si="10"/>
        <v>27.008675540766877</v>
      </c>
      <c r="D192" s="2">
        <f t="shared" ca="1" si="11"/>
        <v>27</v>
      </c>
    </row>
    <row r="193" spans="1:4" ht="15" x14ac:dyDescent="0.2">
      <c r="A193" s="1">
        <v>191</v>
      </c>
      <c r="B193" s="3">
        <f t="shared" ca="1" si="9"/>
        <v>0.45814617796457591</v>
      </c>
      <c r="C193" s="3">
        <f t="shared" ca="1" si="10"/>
        <v>29.684684486091619</v>
      </c>
      <c r="D193" s="2">
        <f t="shared" ca="1" si="11"/>
        <v>30</v>
      </c>
    </row>
    <row r="194" spans="1:4" ht="15" x14ac:dyDescent="0.2">
      <c r="A194" s="1">
        <v>192</v>
      </c>
      <c r="B194" s="3">
        <f t="shared" ca="1" si="9"/>
        <v>0.58636803216459987</v>
      </c>
      <c r="C194" s="3">
        <f t="shared" ca="1" si="10"/>
        <v>30.654636000179192</v>
      </c>
      <c r="D194" s="2">
        <f t="shared" ca="1" si="11"/>
        <v>31</v>
      </c>
    </row>
    <row r="195" spans="1:4" ht="15" x14ac:dyDescent="0.2">
      <c r="A195" s="1">
        <v>193</v>
      </c>
      <c r="B195" s="3">
        <f t="shared" ca="1" si="9"/>
        <v>8.1631218400672667E-2</v>
      </c>
      <c r="C195" s="3">
        <f t="shared" ca="1" si="10"/>
        <v>25.817451860818505</v>
      </c>
      <c r="D195" s="2">
        <f t="shared" ca="1" si="11"/>
        <v>26</v>
      </c>
    </row>
    <row r="196" spans="1:4" ht="15" x14ac:dyDescent="0.2">
      <c r="A196" s="1">
        <v>194</v>
      </c>
      <c r="B196" s="3">
        <f t="shared" ref="B196:B259" ca="1" si="12">RAND()</f>
        <v>0.49875323403412186</v>
      </c>
      <c r="C196" s="3">
        <f t="shared" ca="1" si="10"/>
        <v>29.990624448272786</v>
      </c>
      <c r="D196" s="2">
        <f t="shared" ca="1" si="11"/>
        <v>30</v>
      </c>
    </row>
    <row r="197" spans="1:4" ht="15" x14ac:dyDescent="0.2">
      <c r="A197" s="1">
        <v>195</v>
      </c>
      <c r="B197" s="3">
        <f t="shared" ca="1" si="12"/>
        <v>0.72104457287264734</v>
      </c>
      <c r="C197" s="3">
        <f t="shared" ca="1" si="10"/>
        <v>31.757842238393884</v>
      </c>
      <c r="D197" s="2">
        <f t="shared" ca="1" si="11"/>
        <v>32</v>
      </c>
    </row>
    <row r="198" spans="1:4" ht="15" x14ac:dyDescent="0.2">
      <c r="A198" s="1">
        <v>196</v>
      </c>
      <c r="B198" s="3">
        <f t="shared" ca="1" si="12"/>
        <v>0.52188617047395036</v>
      </c>
      <c r="C198" s="3">
        <f t="shared" ca="1" si="10"/>
        <v>30.164664124371409</v>
      </c>
      <c r="D198" s="2">
        <f t="shared" ca="1" si="11"/>
        <v>30</v>
      </c>
    </row>
    <row r="199" spans="1:4" ht="15" x14ac:dyDescent="0.2">
      <c r="A199" s="1">
        <v>197</v>
      </c>
      <c r="B199" s="3">
        <f t="shared" ca="1" si="12"/>
        <v>1.0386478549767597E-2</v>
      </c>
      <c r="C199" s="3">
        <f t="shared" ca="1" si="10"/>
        <v>23.063742685476981</v>
      </c>
      <c r="D199" s="2">
        <f t="shared" ca="1" si="11"/>
        <v>23</v>
      </c>
    </row>
    <row r="200" spans="1:4" ht="15" x14ac:dyDescent="0.2">
      <c r="A200" s="1">
        <v>198</v>
      </c>
      <c r="B200" s="3">
        <f t="shared" ca="1" si="12"/>
        <v>0.93377590555638657</v>
      </c>
      <c r="C200" s="3">
        <f t="shared" ca="1" si="10"/>
        <v>34.513552289512823</v>
      </c>
      <c r="D200" s="2">
        <f t="shared" ca="1" si="11"/>
        <v>35</v>
      </c>
    </row>
    <row r="201" spans="1:4" ht="15" x14ac:dyDescent="0.2">
      <c r="A201" s="1">
        <v>199</v>
      </c>
      <c r="B201" s="3">
        <f t="shared" ca="1" si="12"/>
        <v>0.26191549937052838</v>
      </c>
      <c r="C201" s="3">
        <f t="shared" ca="1" si="10"/>
        <v>28.087646453039731</v>
      </c>
      <c r="D201" s="2">
        <f t="shared" ca="1" si="11"/>
        <v>28</v>
      </c>
    </row>
    <row r="202" spans="1:4" ht="15" x14ac:dyDescent="0.2">
      <c r="A202" s="1">
        <v>200</v>
      </c>
      <c r="B202" s="3">
        <f t="shared" ca="1" si="12"/>
        <v>0.21024726075875577</v>
      </c>
      <c r="C202" s="3">
        <f t="shared" ca="1" si="10"/>
        <v>27.583309203360034</v>
      </c>
      <c r="D202" s="2">
        <f t="shared" ca="1" si="11"/>
        <v>28</v>
      </c>
    </row>
    <row r="203" spans="1:4" ht="15" x14ac:dyDescent="0.2">
      <c r="A203" s="1">
        <v>201</v>
      </c>
      <c r="B203" s="3">
        <f t="shared" ca="1" si="12"/>
        <v>0.41450403021893834</v>
      </c>
      <c r="C203" s="3">
        <f t="shared" ca="1" si="10"/>
        <v>29.352078177638148</v>
      </c>
      <c r="D203" s="2">
        <f t="shared" ca="1" si="11"/>
        <v>29</v>
      </c>
    </row>
    <row r="204" spans="1:4" ht="15" x14ac:dyDescent="0.2">
      <c r="A204" s="1">
        <v>202</v>
      </c>
      <c r="B204" s="3">
        <f t="shared" ca="1" si="12"/>
        <v>0.93105631684994972</v>
      </c>
      <c r="C204" s="3">
        <f t="shared" ca="1" si="10"/>
        <v>34.451113111675383</v>
      </c>
      <c r="D204" s="2">
        <f t="shared" ca="1" si="11"/>
        <v>34</v>
      </c>
    </row>
    <row r="205" spans="1:4" ht="15" x14ac:dyDescent="0.2">
      <c r="A205" s="1">
        <v>203</v>
      </c>
      <c r="B205" s="3">
        <f t="shared" ca="1" si="12"/>
        <v>0.95770239591916451</v>
      </c>
      <c r="C205" s="3">
        <f t="shared" ca="1" si="10"/>
        <v>35.173872785707744</v>
      </c>
      <c r="D205" s="2">
        <f t="shared" ca="1" si="11"/>
        <v>35</v>
      </c>
    </row>
    <row r="206" spans="1:4" ht="15" x14ac:dyDescent="0.2">
      <c r="A206" s="1">
        <v>204</v>
      </c>
      <c r="B206" s="3">
        <f t="shared" ca="1" si="12"/>
        <v>0.532485977876899</v>
      </c>
      <c r="C206" s="3">
        <f t="shared" ca="1" si="10"/>
        <v>30.244561417935447</v>
      </c>
      <c r="D206" s="2">
        <f t="shared" ca="1" si="11"/>
        <v>30</v>
      </c>
    </row>
    <row r="207" spans="1:4" ht="15" x14ac:dyDescent="0.2">
      <c r="A207" s="1">
        <v>205</v>
      </c>
      <c r="B207" s="3">
        <f t="shared" ca="1" si="12"/>
        <v>0.91963314515931405</v>
      </c>
      <c r="C207" s="3">
        <f t="shared" ca="1" si="10"/>
        <v>34.207824555320528</v>
      </c>
      <c r="D207" s="2">
        <f t="shared" ca="1" si="11"/>
        <v>34</v>
      </c>
    </row>
    <row r="208" spans="1:4" ht="15" x14ac:dyDescent="0.2">
      <c r="A208" s="1">
        <v>206</v>
      </c>
      <c r="B208" s="3">
        <f t="shared" ca="1" si="12"/>
        <v>0.18864073800036951</v>
      </c>
      <c r="C208" s="3">
        <f t="shared" ca="1" si="10"/>
        <v>27.351250988620791</v>
      </c>
      <c r="D208" s="2">
        <f t="shared" ca="1" si="11"/>
        <v>27</v>
      </c>
    </row>
    <row r="209" spans="1:4" ht="15" x14ac:dyDescent="0.2">
      <c r="A209" s="1">
        <v>207</v>
      </c>
      <c r="B209" s="3">
        <f t="shared" ca="1" si="12"/>
        <v>0.63624997646989068</v>
      </c>
      <c r="C209" s="3">
        <f t="shared" ca="1" si="10"/>
        <v>31.045358832699176</v>
      </c>
      <c r="D209" s="2">
        <f t="shared" ca="1" si="11"/>
        <v>31</v>
      </c>
    </row>
    <row r="210" spans="1:4" ht="15" x14ac:dyDescent="0.2">
      <c r="A210" s="1">
        <v>208</v>
      </c>
      <c r="B210" s="3">
        <f t="shared" ca="1" si="12"/>
        <v>0.1030586070481706</v>
      </c>
      <c r="C210" s="3">
        <f t="shared" ca="1" si="10"/>
        <v>26.207056892164378</v>
      </c>
      <c r="D210" s="2">
        <f t="shared" ca="1" si="11"/>
        <v>26</v>
      </c>
    </row>
    <row r="211" spans="1:4" ht="15" x14ac:dyDescent="0.2">
      <c r="A211" s="1">
        <v>209</v>
      </c>
      <c r="B211" s="3">
        <f t="shared" ca="1" si="12"/>
        <v>0.17600821266202926</v>
      </c>
      <c r="C211" s="3">
        <f t="shared" ca="1" si="10"/>
        <v>27.207944386635702</v>
      </c>
      <c r="D211" s="2">
        <f t="shared" ca="1" si="11"/>
        <v>27</v>
      </c>
    </row>
    <row r="212" spans="1:4" ht="15" x14ac:dyDescent="0.2">
      <c r="A212" s="1">
        <v>210</v>
      </c>
      <c r="B212" s="3">
        <f t="shared" ca="1" si="12"/>
        <v>0.99272387886574831</v>
      </c>
      <c r="C212" s="3">
        <f t="shared" ca="1" si="10"/>
        <v>37.330003507807561</v>
      </c>
      <c r="D212" s="2">
        <f t="shared" ca="1" si="11"/>
        <v>37</v>
      </c>
    </row>
    <row r="213" spans="1:4" ht="15" x14ac:dyDescent="0.2">
      <c r="A213" s="1">
        <v>211</v>
      </c>
      <c r="B213" s="3">
        <f t="shared" ca="1" si="12"/>
        <v>0.23194059060129213</v>
      </c>
      <c r="C213" s="3">
        <f t="shared" ca="1" si="10"/>
        <v>27.802587217730625</v>
      </c>
      <c r="D213" s="2">
        <f t="shared" ca="1" si="11"/>
        <v>28</v>
      </c>
    </row>
    <row r="214" spans="1:4" ht="15" x14ac:dyDescent="0.2">
      <c r="A214" s="1">
        <v>212</v>
      </c>
      <c r="B214" s="3">
        <f t="shared" ca="1" si="12"/>
        <v>0.5293320909843714</v>
      </c>
      <c r="C214" s="3">
        <f t="shared" ca="1" si="10"/>
        <v>30.220773055231202</v>
      </c>
      <c r="D214" s="2">
        <f t="shared" ca="1" si="11"/>
        <v>30</v>
      </c>
    </row>
    <row r="215" spans="1:4" ht="15" x14ac:dyDescent="0.2">
      <c r="A215" s="1">
        <v>213</v>
      </c>
      <c r="B215" s="3">
        <f t="shared" ca="1" si="12"/>
        <v>0.54042565849497182</v>
      </c>
      <c r="C215" s="3">
        <f t="shared" ca="1" si="10"/>
        <v>30.304518422685934</v>
      </c>
      <c r="D215" s="2">
        <f t="shared" ca="1" si="11"/>
        <v>30</v>
      </c>
    </row>
    <row r="216" spans="1:4" ht="15" x14ac:dyDescent="0.2">
      <c r="A216" s="1">
        <v>214</v>
      </c>
      <c r="B216" s="3">
        <f t="shared" ca="1" si="12"/>
        <v>0.43440895757137543</v>
      </c>
      <c r="C216" s="3">
        <f t="shared" ca="1" si="10"/>
        <v>29.504519492813756</v>
      </c>
      <c r="D216" s="2">
        <f t="shared" ca="1" si="11"/>
        <v>30</v>
      </c>
    </row>
    <row r="217" spans="1:4" ht="15" x14ac:dyDescent="0.2">
      <c r="A217" s="1">
        <v>215</v>
      </c>
      <c r="B217" s="3">
        <f t="shared" ca="1" si="12"/>
        <v>0.10393798466084914</v>
      </c>
      <c r="C217" s="3">
        <f t="shared" ca="1" si="10"/>
        <v>26.221717563175545</v>
      </c>
      <c r="D217" s="2">
        <f t="shared" ca="1" si="11"/>
        <v>26</v>
      </c>
    </row>
    <row r="218" spans="1:4" ht="15" x14ac:dyDescent="0.2">
      <c r="A218" s="1">
        <v>216</v>
      </c>
      <c r="B218" s="3">
        <f t="shared" ca="1" si="12"/>
        <v>0.10568666727931553</v>
      </c>
      <c r="C218" s="3">
        <f t="shared" ca="1" si="10"/>
        <v>26.250605898832518</v>
      </c>
      <c r="D218" s="2">
        <f t="shared" ca="1" si="11"/>
        <v>26</v>
      </c>
    </row>
    <row r="219" spans="1:4" ht="15" x14ac:dyDescent="0.2">
      <c r="A219" s="1">
        <v>217</v>
      </c>
      <c r="B219" s="3">
        <f t="shared" ca="1" si="12"/>
        <v>0.5405107617956536</v>
      </c>
      <c r="C219" s="3">
        <f t="shared" ca="1" si="10"/>
        <v>30.305161702166899</v>
      </c>
      <c r="D219" s="2">
        <f t="shared" ca="1" si="11"/>
        <v>30</v>
      </c>
    </row>
    <row r="220" spans="1:4" ht="15" x14ac:dyDescent="0.2">
      <c r="A220" s="1">
        <v>218</v>
      </c>
      <c r="B220" s="3">
        <f t="shared" ca="1" si="12"/>
        <v>3.290249022081182E-2</v>
      </c>
      <c r="C220" s="3">
        <f t="shared" ca="1" si="10"/>
        <v>24.480750638767447</v>
      </c>
      <c r="D220" s="2">
        <f t="shared" ca="1" si="11"/>
        <v>24</v>
      </c>
    </row>
    <row r="221" spans="1:4" ht="15" x14ac:dyDescent="0.2">
      <c r="A221" s="1">
        <v>219</v>
      </c>
      <c r="B221" s="3">
        <f t="shared" ca="1" si="12"/>
        <v>0.96039975368592712</v>
      </c>
      <c r="C221" s="3">
        <f t="shared" ca="1" si="10"/>
        <v>35.266031858783499</v>
      </c>
      <c r="D221" s="2">
        <f t="shared" ca="1" si="11"/>
        <v>35</v>
      </c>
    </row>
    <row r="222" spans="1:4" ht="15" x14ac:dyDescent="0.2">
      <c r="A222" s="1">
        <v>220</v>
      </c>
      <c r="B222" s="3">
        <f t="shared" ca="1" si="12"/>
        <v>0.81583281662689322</v>
      </c>
      <c r="C222" s="3">
        <f t="shared" ca="1" si="10"/>
        <v>32.698793183945263</v>
      </c>
      <c r="D222" s="2">
        <f t="shared" ca="1" si="11"/>
        <v>33</v>
      </c>
    </row>
    <row r="223" spans="1:4" ht="15" x14ac:dyDescent="0.2">
      <c r="A223" s="1">
        <v>221</v>
      </c>
      <c r="B223" s="3">
        <f t="shared" ca="1" si="12"/>
        <v>0.7673963398820528</v>
      </c>
      <c r="C223" s="3">
        <f t="shared" ca="1" si="10"/>
        <v>32.190897584771193</v>
      </c>
      <c r="D223" s="2">
        <f t="shared" ca="1" si="11"/>
        <v>32</v>
      </c>
    </row>
    <row r="224" spans="1:4" ht="15" x14ac:dyDescent="0.2">
      <c r="A224" s="1">
        <v>222</v>
      </c>
      <c r="B224" s="3">
        <f t="shared" ca="1" si="12"/>
        <v>0.82684884160847427</v>
      </c>
      <c r="C224" s="3">
        <f t="shared" ca="1" si="10"/>
        <v>32.825357399465062</v>
      </c>
      <c r="D224" s="2">
        <f t="shared" ca="1" si="11"/>
        <v>33</v>
      </c>
    </row>
    <row r="225" spans="1:4" ht="15" x14ac:dyDescent="0.2">
      <c r="A225" s="1">
        <v>223</v>
      </c>
      <c r="B225" s="3">
        <f t="shared" ca="1" si="12"/>
        <v>0.84267587605896488</v>
      </c>
      <c r="C225" s="3">
        <f t="shared" ca="1" si="10"/>
        <v>33.016549254013633</v>
      </c>
      <c r="D225" s="2">
        <f t="shared" ca="1" si="11"/>
        <v>33</v>
      </c>
    </row>
    <row r="226" spans="1:4" ht="15" x14ac:dyDescent="0.2">
      <c r="A226" s="1">
        <v>224</v>
      </c>
      <c r="B226" s="3">
        <f t="shared" ca="1" si="12"/>
        <v>0.43931995051375006</v>
      </c>
      <c r="C226" s="3">
        <f t="shared" ca="1" si="10"/>
        <v>29.541919173324764</v>
      </c>
      <c r="D226" s="2">
        <f t="shared" ca="1" si="11"/>
        <v>30</v>
      </c>
    </row>
    <row r="227" spans="1:4" ht="15" x14ac:dyDescent="0.2">
      <c r="A227" s="1">
        <v>225</v>
      </c>
      <c r="B227" s="3">
        <f t="shared" ca="1" si="12"/>
        <v>0.81322650243098571</v>
      </c>
      <c r="C227" s="3">
        <f t="shared" ca="1" si="10"/>
        <v>32.669546869055615</v>
      </c>
      <c r="D227" s="2">
        <f t="shared" ca="1" si="11"/>
        <v>33</v>
      </c>
    </row>
    <row r="228" spans="1:4" ht="15" x14ac:dyDescent="0.2">
      <c r="A228" s="1">
        <v>226</v>
      </c>
      <c r="B228" s="3">
        <f t="shared" ca="1" si="12"/>
        <v>0.54514343355264638</v>
      </c>
      <c r="C228" s="3">
        <f t="shared" ca="1" si="10"/>
        <v>30.340201161057596</v>
      </c>
      <c r="D228" s="2">
        <f t="shared" ca="1" si="11"/>
        <v>30</v>
      </c>
    </row>
    <row r="229" spans="1:4" ht="15" x14ac:dyDescent="0.2">
      <c r="A229" s="1">
        <v>227</v>
      </c>
      <c r="B229" s="3">
        <f t="shared" ca="1" si="12"/>
        <v>0.88992131199015634</v>
      </c>
      <c r="C229" s="3">
        <f t="shared" ca="1" si="10"/>
        <v>33.678329259925476</v>
      </c>
      <c r="D229" s="2">
        <f t="shared" ca="1" si="11"/>
        <v>34</v>
      </c>
    </row>
    <row r="230" spans="1:4" ht="15" x14ac:dyDescent="0.2">
      <c r="A230" s="1">
        <v>228</v>
      </c>
      <c r="B230" s="3">
        <f t="shared" ca="1" si="12"/>
        <v>0.14969907597040266</v>
      </c>
      <c r="C230" s="3">
        <f t="shared" ca="1" si="10"/>
        <v>26.886825318624414</v>
      </c>
      <c r="D230" s="2">
        <f t="shared" ca="1" si="11"/>
        <v>27</v>
      </c>
    </row>
    <row r="231" spans="1:4" ht="15" x14ac:dyDescent="0.2">
      <c r="A231" s="1">
        <v>229</v>
      </c>
      <c r="B231" s="3">
        <f t="shared" ca="1" si="12"/>
        <v>4.6966123939228166E-2</v>
      </c>
      <c r="C231" s="3">
        <f t="shared" ca="1" si="10"/>
        <v>24.974969667181206</v>
      </c>
      <c r="D231" s="2">
        <f t="shared" ca="1" si="11"/>
        <v>25</v>
      </c>
    </row>
    <row r="232" spans="1:4" ht="15" x14ac:dyDescent="0.2">
      <c r="A232" s="1">
        <v>230</v>
      </c>
      <c r="B232" s="3">
        <f t="shared" ca="1" si="12"/>
        <v>0.44532778927699368</v>
      </c>
      <c r="C232" s="3">
        <f t="shared" ca="1" si="10"/>
        <v>29.587575859087373</v>
      </c>
      <c r="D232" s="2">
        <f t="shared" ca="1" si="11"/>
        <v>30</v>
      </c>
    </row>
    <row r="233" spans="1:4" ht="15" x14ac:dyDescent="0.2">
      <c r="A233" s="1">
        <v>231</v>
      </c>
      <c r="B233" s="3">
        <f t="shared" ca="1" si="12"/>
        <v>0.11392545437398749</v>
      </c>
      <c r="C233" s="3">
        <f t="shared" ca="1" si="10"/>
        <v>26.382259997903699</v>
      </c>
      <c r="D233" s="2">
        <f t="shared" ca="1" si="11"/>
        <v>26</v>
      </c>
    </row>
    <row r="234" spans="1:4" ht="15" x14ac:dyDescent="0.2">
      <c r="A234" s="1">
        <v>232</v>
      </c>
      <c r="B234" s="3">
        <f t="shared" ca="1" si="12"/>
        <v>0.81487820775432829</v>
      </c>
      <c r="C234" s="3">
        <f t="shared" ca="1" si="10"/>
        <v>32.688051558093342</v>
      </c>
      <c r="D234" s="2">
        <f t="shared" ca="1" si="11"/>
        <v>33</v>
      </c>
    </row>
    <row r="235" spans="1:4" ht="15" x14ac:dyDescent="0.2">
      <c r="A235" s="1">
        <v>233</v>
      </c>
      <c r="B235" s="3">
        <f t="shared" ca="1" si="12"/>
        <v>0.95358885867071297</v>
      </c>
      <c r="C235" s="3">
        <f t="shared" ca="1" si="10"/>
        <v>35.042083296327135</v>
      </c>
      <c r="D235" s="2">
        <f t="shared" ca="1" si="11"/>
        <v>35</v>
      </c>
    </row>
    <row r="236" spans="1:4" ht="15" x14ac:dyDescent="0.2">
      <c r="A236" s="1">
        <v>234</v>
      </c>
      <c r="B236" s="3">
        <f t="shared" ca="1" si="12"/>
        <v>0.6587958932809469</v>
      </c>
      <c r="C236" s="3">
        <f t="shared" ca="1" si="10"/>
        <v>31.227537371632579</v>
      </c>
      <c r="D236" s="2">
        <f t="shared" ca="1" si="11"/>
        <v>31</v>
      </c>
    </row>
    <row r="237" spans="1:4" ht="15" x14ac:dyDescent="0.2">
      <c r="A237" s="1">
        <v>235</v>
      </c>
      <c r="B237" s="3">
        <f t="shared" ca="1" si="12"/>
        <v>0.55406435379762409</v>
      </c>
      <c r="C237" s="3">
        <f t="shared" ca="1" si="10"/>
        <v>30.407810213620571</v>
      </c>
      <c r="D237" s="2">
        <f t="shared" ca="1" si="11"/>
        <v>30</v>
      </c>
    </row>
    <row r="238" spans="1:4" ht="15" x14ac:dyDescent="0.2">
      <c r="A238" s="1">
        <v>236</v>
      </c>
      <c r="B238" s="3">
        <f t="shared" ca="1" si="12"/>
        <v>0.11575875614266717</v>
      </c>
      <c r="C238" s="3">
        <f t="shared" ca="1" si="10"/>
        <v>26.410623177961398</v>
      </c>
      <c r="D238" s="2">
        <f t="shared" ca="1" si="11"/>
        <v>26</v>
      </c>
    </row>
    <row r="239" spans="1:4" ht="15" x14ac:dyDescent="0.2">
      <c r="A239" s="1">
        <v>237</v>
      </c>
      <c r="B239" s="3">
        <f t="shared" ca="1" si="12"/>
        <v>0.86035623004867456</v>
      </c>
      <c r="C239" s="3">
        <f t="shared" ca="1" si="10"/>
        <v>33.245763626630179</v>
      </c>
      <c r="D239" s="2">
        <f t="shared" ca="1" si="11"/>
        <v>33</v>
      </c>
    </row>
    <row r="240" spans="1:4" ht="15" x14ac:dyDescent="0.2">
      <c r="A240" s="1">
        <v>238</v>
      </c>
      <c r="B240" s="3">
        <f t="shared" ca="1" si="12"/>
        <v>0.83091842074214539</v>
      </c>
      <c r="C240" s="3">
        <f t="shared" ca="1" si="10"/>
        <v>32.873402740280731</v>
      </c>
      <c r="D240" s="2">
        <f t="shared" ca="1" si="11"/>
        <v>33</v>
      </c>
    </row>
    <row r="241" spans="1:4" ht="15" x14ac:dyDescent="0.2">
      <c r="A241" s="1">
        <v>239</v>
      </c>
      <c r="B241" s="3">
        <f t="shared" ca="1" si="12"/>
        <v>0.74089180638867547</v>
      </c>
      <c r="C241" s="3">
        <f t="shared" ca="1" si="10"/>
        <v>31.938291699073861</v>
      </c>
      <c r="D241" s="2">
        <f t="shared" ca="1" si="11"/>
        <v>32</v>
      </c>
    </row>
    <row r="242" spans="1:4" ht="15" x14ac:dyDescent="0.2">
      <c r="A242" s="1">
        <v>240</v>
      </c>
      <c r="B242" s="3">
        <f t="shared" ca="1" si="12"/>
        <v>0.25541138307468869</v>
      </c>
      <c r="C242" s="3">
        <f t="shared" ca="1" si="10"/>
        <v>28.02732868843713</v>
      </c>
      <c r="D242" s="2">
        <f t="shared" ca="1" si="11"/>
        <v>28</v>
      </c>
    </row>
    <row r="243" spans="1:4" ht="15" x14ac:dyDescent="0.2">
      <c r="A243" s="1">
        <v>241</v>
      </c>
      <c r="B243" s="3">
        <f t="shared" ca="1" si="12"/>
        <v>5.0557675213364961E-2</v>
      </c>
      <c r="C243" s="3">
        <f t="shared" ca="1" si="10"/>
        <v>25.081589089148402</v>
      </c>
      <c r="D243" s="2">
        <f t="shared" ca="1" si="11"/>
        <v>25</v>
      </c>
    </row>
    <row r="244" spans="1:4" ht="15" x14ac:dyDescent="0.2">
      <c r="A244" s="1">
        <v>242</v>
      </c>
      <c r="B244" s="3">
        <f t="shared" ca="1" si="12"/>
        <v>0.47897914627982485</v>
      </c>
      <c r="C244" s="3">
        <f t="shared" ca="1" si="10"/>
        <v>29.841852383913938</v>
      </c>
      <c r="D244" s="2">
        <f t="shared" ca="1" si="11"/>
        <v>30</v>
      </c>
    </row>
    <row r="245" spans="1:4" ht="15" x14ac:dyDescent="0.2">
      <c r="A245" s="1">
        <v>243</v>
      </c>
      <c r="B245" s="3">
        <f t="shared" ca="1" si="12"/>
        <v>0.64802121728114337</v>
      </c>
      <c r="C245" s="3">
        <f t="shared" ref="C245:C308" ca="1" si="13">_xlfn.NORM.INV(B245,$I$3,$J$3)</f>
        <v>31.139950895374149</v>
      </c>
      <c r="D245" s="2">
        <f t="shared" ref="D245:D308" ca="1" si="14">ROUND(_xlfn.NORM.INV(B245,$I$3,$J$3),0)</f>
        <v>31</v>
      </c>
    </row>
    <row r="246" spans="1:4" ht="15" x14ac:dyDescent="0.2">
      <c r="A246" s="1">
        <v>244</v>
      </c>
      <c r="B246" s="3">
        <f t="shared" ca="1" si="12"/>
        <v>0.16501298425914401</v>
      </c>
      <c r="C246" s="3">
        <f t="shared" ca="1" si="13"/>
        <v>27.077815285046093</v>
      </c>
      <c r="D246" s="2">
        <f t="shared" ca="1" si="14"/>
        <v>27</v>
      </c>
    </row>
    <row r="247" spans="1:4" ht="15" x14ac:dyDescent="0.2">
      <c r="A247" s="1">
        <v>245</v>
      </c>
      <c r="B247" s="3">
        <f t="shared" ca="1" si="12"/>
        <v>0.28777245957893793</v>
      </c>
      <c r="C247" s="3">
        <f t="shared" ca="1" si="13"/>
        <v>28.320287995198925</v>
      </c>
      <c r="D247" s="2">
        <f t="shared" ca="1" si="14"/>
        <v>28</v>
      </c>
    </row>
    <row r="248" spans="1:4" ht="15" x14ac:dyDescent="0.2">
      <c r="A248" s="1">
        <v>246</v>
      </c>
      <c r="B248" s="3">
        <f t="shared" ca="1" si="12"/>
        <v>4.8116998324445048E-2</v>
      </c>
      <c r="C248" s="3">
        <f t="shared" ca="1" si="13"/>
        <v>25.009824047945791</v>
      </c>
      <c r="D248" s="2">
        <f t="shared" ca="1" si="14"/>
        <v>25</v>
      </c>
    </row>
    <row r="249" spans="1:4" ht="15" x14ac:dyDescent="0.2">
      <c r="A249" s="1">
        <v>247</v>
      </c>
      <c r="B249" s="3">
        <f t="shared" ca="1" si="12"/>
        <v>0.30661200369033126</v>
      </c>
      <c r="C249" s="3">
        <f t="shared" ca="1" si="13"/>
        <v>28.483569677370895</v>
      </c>
      <c r="D249" s="2">
        <f t="shared" ca="1" si="14"/>
        <v>28</v>
      </c>
    </row>
    <row r="250" spans="1:4" ht="15" x14ac:dyDescent="0.2">
      <c r="A250" s="1">
        <v>248</v>
      </c>
      <c r="B250" s="3">
        <f t="shared" ca="1" si="12"/>
        <v>0.73185961186480175</v>
      </c>
      <c r="C250" s="3">
        <f t="shared" ca="1" si="13"/>
        <v>31.855340763425403</v>
      </c>
      <c r="D250" s="2">
        <f t="shared" ca="1" si="14"/>
        <v>32</v>
      </c>
    </row>
    <row r="251" spans="1:4" ht="15" x14ac:dyDescent="0.2">
      <c r="A251" s="1">
        <v>249</v>
      </c>
      <c r="B251" s="3">
        <f t="shared" ca="1" si="12"/>
        <v>0.21810873559467203</v>
      </c>
      <c r="C251" s="3">
        <f t="shared" ca="1" si="13"/>
        <v>27.664210651308061</v>
      </c>
      <c r="D251" s="2">
        <f t="shared" ca="1" si="14"/>
        <v>28</v>
      </c>
    </row>
    <row r="252" spans="1:4" ht="15" x14ac:dyDescent="0.2">
      <c r="A252" s="1">
        <v>250</v>
      </c>
      <c r="B252" s="3">
        <f t="shared" ca="1" si="12"/>
        <v>0.90863791472642452</v>
      </c>
      <c r="C252" s="3">
        <f t="shared" ca="1" si="13"/>
        <v>33.997242124391036</v>
      </c>
      <c r="D252" s="2">
        <f t="shared" ca="1" si="14"/>
        <v>34</v>
      </c>
    </row>
    <row r="253" spans="1:4" ht="15" x14ac:dyDescent="0.2">
      <c r="A253" s="1">
        <v>251</v>
      </c>
      <c r="B253" s="3">
        <f t="shared" ca="1" si="12"/>
        <v>0.13729880902285374</v>
      </c>
      <c r="C253" s="3">
        <f t="shared" ca="1" si="13"/>
        <v>26.722392287610869</v>
      </c>
      <c r="D253" s="2">
        <f t="shared" ca="1" si="14"/>
        <v>27</v>
      </c>
    </row>
    <row r="254" spans="1:4" ht="15" x14ac:dyDescent="0.2">
      <c r="A254" s="1">
        <v>252</v>
      </c>
      <c r="B254" s="3">
        <f t="shared" ca="1" si="12"/>
        <v>0.83434152530103078</v>
      </c>
      <c r="C254" s="3">
        <f t="shared" ca="1" si="13"/>
        <v>32.914393942681293</v>
      </c>
      <c r="D254" s="2">
        <f t="shared" ca="1" si="14"/>
        <v>33</v>
      </c>
    </row>
    <row r="255" spans="1:4" ht="15" x14ac:dyDescent="0.2">
      <c r="A255" s="1">
        <v>253</v>
      </c>
      <c r="B255" s="3">
        <f t="shared" ca="1" si="12"/>
        <v>0.76954468828440592</v>
      </c>
      <c r="C255" s="3">
        <f t="shared" ca="1" si="13"/>
        <v>32.212044620718665</v>
      </c>
      <c r="D255" s="2">
        <f t="shared" ca="1" si="14"/>
        <v>32</v>
      </c>
    </row>
    <row r="256" spans="1:4" ht="15" x14ac:dyDescent="0.2">
      <c r="A256" s="1">
        <v>254</v>
      </c>
      <c r="B256" s="3">
        <f t="shared" ca="1" si="12"/>
        <v>0.86672876293700873</v>
      </c>
      <c r="C256" s="3">
        <f t="shared" ca="1" si="13"/>
        <v>33.333180346799303</v>
      </c>
      <c r="D256" s="2">
        <f t="shared" ca="1" si="14"/>
        <v>33</v>
      </c>
    </row>
    <row r="257" spans="1:4" ht="15" x14ac:dyDescent="0.2">
      <c r="A257" s="1">
        <v>255</v>
      </c>
      <c r="B257" s="3">
        <f t="shared" ca="1" si="12"/>
        <v>0.99749399387440774</v>
      </c>
      <c r="C257" s="3">
        <f t="shared" ca="1" si="13"/>
        <v>38.418782134442978</v>
      </c>
      <c r="D257" s="2">
        <f t="shared" ca="1" si="14"/>
        <v>38</v>
      </c>
    </row>
    <row r="258" spans="1:4" ht="15" x14ac:dyDescent="0.2">
      <c r="A258" s="1">
        <v>256</v>
      </c>
      <c r="B258" s="3">
        <f t="shared" ca="1" si="12"/>
        <v>0.74683943612729931</v>
      </c>
      <c r="C258" s="3">
        <f t="shared" ca="1" si="13"/>
        <v>31.993730795850425</v>
      </c>
      <c r="D258" s="2">
        <f t="shared" ca="1" si="14"/>
        <v>32</v>
      </c>
    </row>
    <row r="259" spans="1:4" ht="15" x14ac:dyDescent="0.2">
      <c r="A259" s="1">
        <v>257</v>
      </c>
      <c r="B259" s="3">
        <f t="shared" ca="1" si="12"/>
        <v>0.32580561122686769</v>
      </c>
      <c r="C259" s="3">
        <f t="shared" ca="1" si="13"/>
        <v>28.645425047758671</v>
      </c>
      <c r="D259" s="2">
        <f t="shared" ca="1" si="14"/>
        <v>29</v>
      </c>
    </row>
    <row r="260" spans="1:4" ht="15" x14ac:dyDescent="0.2">
      <c r="A260" s="1">
        <v>258</v>
      </c>
      <c r="B260" s="3">
        <f t="shared" ref="B260:B323" ca="1" si="15">RAND()</f>
        <v>0.12653095358402255</v>
      </c>
      <c r="C260" s="3">
        <f t="shared" ca="1" si="13"/>
        <v>26.571168467112507</v>
      </c>
      <c r="D260" s="2">
        <f t="shared" ca="1" si="14"/>
        <v>27</v>
      </c>
    </row>
    <row r="261" spans="1:4" ht="15" x14ac:dyDescent="0.2">
      <c r="A261" s="1">
        <v>259</v>
      </c>
      <c r="B261" s="3">
        <f t="shared" ca="1" si="15"/>
        <v>0.7874380370205547</v>
      </c>
      <c r="C261" s="3">
        <f t="shared" ca="1" si="13"/>
        <v>32.392690052725797</v>
      </c>
      <c r="D261" s="2">
        <f t="shared" ca="1" si="14"/>
        <v>32</v>
      </c>
    </row>
    <row r="262" spans="1:4" ht="15" x14ac:dyDescent="0.2">
      <c r="A262" s="1">
        <v>260</v>
      </c>
      <c r="B262" s="3">
        <f t="shared" ca="1" si="15"/>
        <v>0.55605778446499254</v>
      </c>
      <c r="C262" s="3">
        <f t="shared" ca="1" si="13"/>
        <v>30.422944979064489</v>
      </c>
      <c r="D262" s="2">
        <f t="shared" ca="1" si="14"/>
        <v>30</v>
      </c>
    </row>
    <row r="263" spans="1:4" ht="15" x14ac:dyDescent="0.2">
      <c r="A263" s="1">
        <v>261</v>
      </c>
      <c r="B263" s="3">
        <f t="shared" ca="1" si="15"/>
        <v>0.85229545972989029</v>
      </c>
      <c r="C263" s="3">
        <f t="shared" ca="1" si="13"/>
        <v>33.138987520746767</v>
      </c>
      <c r="D263" s="2">
        <f t="shared" ca="1" si="14"/>
        <v>33</v>
      </c>
    </row>
    <row r="264" spans="1:4" ht="15" x14ac:dyDescent="0.2">
      <c r="A264" s="1">
        <v>262</v>
      </c>
      <c r="B264" s="3">
        <f t="shared" ca="1" si="15"/>
        <v>0.31910004901746869</v>
      </c>
      <c r="C264" s="3">
        <f t="shared" ca="1" si="13"/>
        <v>28.589349455028039</v>
      </c>
      <c r="D264" s="2">
        <f t="shared" ca="1" si="14"/>
        <v>29</v>
      </c>
    </row>
    <row r="265" spans="1:4" ht="15" x14ac:dyDescent="0.2">
      <c r="A265" s="1">
        <v>263</v>
      </c>
      <c r="B265" s="3">
        <f t="shared" ca="1" si="15"/>
        <v>5.2824217356045589E-3</v>
      </c>
      <c r="C265" s="3">
        <f t="shared" ca="1" si="13"/>
        <v>22.32968396092846</v>
      </c>
      <c r="D265" s="2">
        <f t="shared" ca="1" si="14"/>
        <v>22</v>
      </c>
    </row>
    <row r="266" spans="1:4" ht="15" x14ac:dyDescent="0.2">
      <c r="A266" s="1">
        <v>264</v>
      </c>
      <c r="B266" s="3">
        <f t="shared" ca="1" si="15"/>
        <v>0.46147181642857482</v>
      </c>
      <c r="C266" s="3">
        <f t="shared" ca="1" si="13"/>
        <v>29.709820644728428</v>
      </c>
      <c r="D266" s="2">
        <f t="shared" ca="1" si="14"/>
        <v>30</v>
      </c>
    </row>
    <row r="267" spans="1:4" ht="15" x14ac:dyDescent="0.2">
      <c r="A267" s="1">
        <v>265</v>
      </c>
      <c r="B267" s="3">
        <f t="shared" ca="1" si="15"/>
        <v>0.55122785798962726</v>
      </c>
      <c r="C267" s="3">
        <f t="shared" ca="1" si="13"/>
        <v>30.386292410019397</v>
      </c>
      <c r="D267" s="2">
        <f t="shared" ca="1" si="14"/>
        <v>30</v>
      </c>
    </row>
    <row r="268" spans="1:4" ht="15" x14ac:dyDescent="0.2">
      <c r="A268" s="1">
        <v>266</v>
      </c>
      <c r="B268" s="3">
        <f t="shared" ca="1" si="15"/>
        <v>0.1026877297394484</v>
      </c>
      <c r="C268" s="3">
        <f t="shared" ca="1" si="13"/>
        <v>26.200846516848021</v>
      </c>
      <c r="D268" s="2">
        <f t="shared" ca="1" si="14"/>
        <v>26</v>
      </c>
    </row>
    <row r="269" spans="1:4" ht="15" x14ac:dyDescent="0.2">
      <c r="A269" s="1">
        <v>267</v>
      </c>
      <c r="B269" s="3">
        <f t="shared" ca="1" si="15"/>
        <v>0.78882286303815896</v>
      </c>
      <c r="C269" s="3">
        <f t="shared" ca="1" si="13"/>
        <v>32.407030563125268</v>
      </c>
      <c r="D269" s="2">
        <f t="shared" ca="1" si="14"/>
        <v>32</v>
      </c>
    </row>
    <row r="270" spans="1:4" ht="15" x14ac:dyDescent="0.2">
      <c r="A270" s="1">
        <v>268</v>
      </c>
      <c r="B270" s="3">
        <f t="shared" ca="1" si="15"/>
        <v>9.3918660994089076E-2</v>
      </c>
      <c r="C270" s="3">
        <f t="shared" ca="1" si="13"/>
        <v>26.048988341988512</v>
      </c>
      <c r="D270" s="2">
        <f t="shared" ca="1" si="14"/>
        <v>26</v>
      </c>
    </row>
    <row r="271" spans="1:4" ht="15" x14ac:dyDescent="0.2">
      <c r="A271" s="1">
        <v>269</v>
      </c>
      <c r="B271" s="3">
        <f t="shared" ca="1" si="15"/>
        <v>0.32572157228074816</v>
      </c>
      <c r="C271" s="3">
        <f t="shared" ca="1" si="13"/>
        <v>28.644725229104473</v>
      </c>
      <c r="D271" s="2">
        <f t="shared" ca="1" si="14"/>
        <v>29</v>
      </c>
    </row>
    <row r="272" spans="1:4" ht="15" x14ac:dyDescent="0.2">
      <c r="A272" s="1">
        <v>270</v>
      </c>
      <c r="B272" s="3">
        <f t="shared" ca="1" si="15"/>
        <v>7.904969989160715E-2</v>
      </c>
      <c r="C272" s="3">
        <f t="shared" ca="1" si="13"/>
        <v>25.765522034322373</v>
      </c>
      <c r="D272" s="2">
        <f t="shared" ca="1" si="14"/>
        <v>26</v>
      </c>
    </row>
    <row r="273" spans="1:4" ht="15" x14ac:dyDescent="0.2">
      <c r="A273" s="1">
        <v>271</v>
      </c>
      <c r="B273" s="3">
        <f t="shared" ca="1" si="15"/>
        <v>0.70243412096570967</v>
      </c>
      <c r="C273" s="3">
        <f t="shared" ca="1" si="13"/>
        <v>31.594242710132132</v>
      </c>
      <c r="D273" s="2">
        <f t="shared" ca="1" si="14"/>
        <v>32</v>
      </c>
    </row>
    <row r="274" spans="1:4" ht="15" x14ac:dyDescent="0.2">
      <c r="A274" s="1">
        <v>272</v>
      </c>
      <c r="B274" s="3">
        <f t="shared" ca="1" si="15"/>
        <v>0.99127684087912038</v>
      </c>
      <c r="C274" s="3">
        <f t="shared" ca="1" si="13"/>
        <v>37.131492709011546</v>
      </c>
      <c r="D274" s="2">
        <f t="shared" ca="1" si="14"/>
        <v>37</v>
      </c>
    </row>
    <row r="275" spans="1:4" ht="15" x14ac:dyDescent="0.2">
      <c r="A275" s="1">
        <v>273</v>
      </c>
      <c r="B275" s="3">
        <f t="shared" ca="1" si="15"/>
        <v>0.85956923134560892</v>
      </c>
      <c r="C275" s="3">
        <f t="shared" ca="1" si="13"/>
        <v>33.235157965209147</v>
      </c>
      <c r="D275" s="2">
        <f t="shared" ca="1" si="14"/>
        <v>33</v>
      </c>
    </row>
    <row r="276" spans="1:4" ht="15" x14ac:dyDescent="0.2">
      <c r="A276" s="1">
        <v>274</v>
      </c>
      <c r="B276" s="3">
        <f t="shared" ca="1" si="15"/>
        <v>0.27187468074178989</v>
      </c>
      <c r="C276" s="3">
        <f t="shared" ca="1" si="13"/>
        <v>28.178540916392361</v>
      </c>
      <c r="D276" s="2">
        <f t="shared" ca="1" si="14"/>
        <v>28</v>
      </c>
    </row>
    <row r="277" spans="1:4" ht="15" x14ac:dyDescent="0.2">
      <c r="A277" s="1">
        <v>275</v>
      </c>
      <c r="B277" s="3">
        <f t="shared" ca="1" si="15"/>
        <v>0.54024066572861795</v>
      </c>
      <c r="C277" s="3">
        <f t="shared" ca="1" si="13"/>
        <v>30.303120146202097</v>
      </c>
      <c r="D277" s="2">
        <f t="shared" ca="1" si="14"/>
        <v>30</v>
      </c>
    </row>
    <row r="278" spans="1:4" ht="15" x14ac:dyDescent="0.2">
      <c r="A278" s="1">
        <v>276</v>
      </c>
      <c r="B278" s="3">
        <f t="shared" ca="1" si="15"/>
        <v>5.8699265334130613E-2</v>
      </c>
      <c r="C278" s="3">
        <f t="shared" ca="1" si="13"/>
        <v>25.302639512712044</v>
      </c>
      <c r="D278" s="2">
        <f t="shared" ca="1" si="14"/>
        <v>25</v>
      </c>
    </row>
    <row r="279" spans="1:4" ht="15" x14ac:dyDescent="0.2">
      <c r="A279" s="1">
        <v>277</v>
      </c>
      <c r="B279" s="3">
        <f t="shared" ca="1" si="15"/>
        <v>0.11175082519181101</v>
      </c>
      <c r="C279" s="3">
        <f t="shared" ca="1" si="13"/>
        <v>26.348191149916964</v>
      </c>
      <c r="D279" s="2">
        <f t="shared" ca="1" si="14"/>
        <v>26</v>
      </c>
    </row>
    <row r="280" spans="1:4" ht="15" x14ac:dyDescent="0.2">
      <c r="A280" s="1">
        <v>278</v>
      </c>
      <c r="B280" s="3">
        <f t="shared" ca="1" si="15"/>
        <v>0.71101656550873271</v>
      </c>
      <c r="C280" s="3">
        <f t="shared" ca="1" si="13"/>
        <v>31.669070820949447</v>
      </c>
      <c r="D280" s="2">
        <f t="shared" ca="1" si="14"/>
        <v>32</v>
      </c>
    </row>
    <row r="281" spans="1:4" ht="15" x14ac:dyDescent="0.2">
      <c r="A281" s="1">
        <v>279</v>
      </c>
      <c r="B281" s="3">
        <f t="shared" ca="1" si="15"/>
        <v>0.70604600931346051</v>
      </c>
      <c r="C281" s="3">
        <f t="shared" ca="1" si="13"/>
        <v>31.625610363139661</v>
      </c>
      <c r="D281" s="2">
        <f t="shared" ca="1" si="14"/>
        <v>32</v>
      </c>
    </row>
    <row r="282" spans="1:4" ht="15" x14ac:dyDescent="0.2">
      <c r="A282" s="1">
        <v>280</v>
      </c>
      <c r="B282" s="3">
        <f t="shared" ca="1" si="15"/>
        <v>0.54880613722598703</v>
      </c>
      <c r="C282" s="3">
        <f t="shared" ca="1" si="13"/>
        <v>30.367936867706696</v>
      </c>
      <c r="D282" s="2">
        <f t="shared" ca="1" si="14"/>
        <v>30</v>
      </c>
    </row>
    <row r="283" spans="1:4" ht="15" x14ac:dyDescent="0.2">
      <c r="A283" s="1">
        <v>281</v>
      </c>
      <c r="B283" s="3">
        <f t="shared" ca="1" si="15"/>
        <v>0.68877424509416241</v>
      </c>
      <c r="C283" s="3">
        <f t="shared" ca="1" si="13"/>
        <v>31.477136712098936</v>
      </c>
      <c r="D283" s="2">
        <f t="shared" ca="1" si="14"/>
        <v>31</v>
      </c>
    </row>
    <row r="284" spans="1:4" ht="15" x14ac:dyDescent="0.2">
      <c r="A284" s="1">
        <v>282</v>
      </c>
      <c r="B284" s="3">
        <f t="shared" ca="1" si="15"/>
        <v>7.6244542879788324E-2</v>
      </c>
      <c r="C284" s="3">
        <f t="shared" ca="1" si="13"/>
        <v>25.707616143225582</v>
      </c>
      <c r="D284" s="2">
        <f t="shared" ca="1" si="14"/>
        <v>26</v>
      </c>
    </row>
    <row r="285" spans="1:4" ht="15" x14ac:dyDescent="0.2">
      <c r="A285" s="1">
        <v>283</v>
      </c>
      <c r="B285" s="3">
        <f t="shared" ca="1" si="15"/>
        <v>0.39084213453016581</v>
      </c>
      <c r="C285" s="3">
        <f t="shared" ca="1" si="13"/>
        <v>29.168625558662423</v>
      </c>
      <c r="D285" s="2">
        <f t="shared" ca="1" si="14"/>
        <v>29</v>
      </c>
    </row>
    <row r="286" spans="1:4" ht="15" x14ac:dyDescent="0.2">
      <c r="A286" s="1">
        <v>284</v>
      </c>
      <c r="B286" s="3">
        <f t="shared" ca="1" si="15"/>
        <v>0.10238426039741422</v>
      </c>
      <c r="C286" s="3">
        <f t="shared" ca="1" si="13"/>
        <v>26.195752756268984</v>
      </c>
      <c r="D286" s="2">
        <f t="shared" ca="1" si="14"/>
        <v>26</v>
      </c>
    </row>
    <row r="287" spans="1:4" ht="15" x14ac:dyDescent="0.2">
      <c r="A287" s="1">
        <v>285</v>
      </c>
      <c r="B287" s="3">
        <f t="shared" ca="1" si="15"/>
        <v>0.25156728980342302</v>
      </c>
      <c r="C287" s="3">
        <f t="shared" ca="1" si="13"/>
        <v>27.991302401596666</v>
      </c>
      <c r="D287" s="2">
        <f t="shared" ca="1" si="14"/>
        <v>28</v>
      </c>
    </row>
    <row r="288" spans="1:4" ht="15" x14ac:dyDescent="0.2">
      <c r="A288" s="1">
        <v>286</v>
      </c>
      <c r="B288" s="3">
        <f t="shared" ca="1" si="15"/>
        <v>0.81535757487950389</v>
      </c>
      <c r="C288" s="3">
        <f t="shared" ca="1" si="13"/>
        <v>32.693441264937036</v>
      </c>
      <c r="D288" s="2">
        <f t="shared" ca="1" si="14"/>
        <v>33</v>
      </c>
    </row>
    <row r="289" spans="1:4" ht="15" x14ac:dyDescent="0.2">
      <c r="A289" s="1">
        <v>287</v>
      </c>
      <c r="B289" s="3">
        <f t="shared" ca="1" si="15"/>
        <v>0.36775361281430829</v>
      </c>
      <c r="C289" s="3">
        <f t="shared" ca="1" si="13"/>
        <v>28.986573391923201</v>
      </c>
      <c r="D289" s="2">
        <f t="shared" ca="1" si="14"/>
        <v>29</v>
      </c>
    </row>
    <row r="290" spans="1:4" ht="15" x14ac:dyDescent="0.2">
      <c r="A290" s="1">
        <v>288</v>
      </c>
      <c r="B290" s="3">
        <f t="shared" ca="1" si="15"/>
        <v>0.30156872896117859</v>
      </c>
      <c r="C290" s="3">
        <f t="shared" ca="1" si="13"/>
        <v>28.440318001634132</v>
      </c>
      <c r="D290" s="2">
        <f t="shared" ca="1" si="14"/>
        <v>28</v>
      </c>
    </row>
    <row r="291" spans="1:4" ht="15" x14ac:dyDescent="0.2">
      <c r="A291" s="1">
        <v>289</v>
      </c>
      <c r="B291" s="3">
        <f t="shared" ca="1" si="15"/>
        <v>4.515448913742226E-3</v>
      </c>
      <c r="C291" s="3">
        <f t="shared" ca="1" si="13"/>
        <v>22.167353200166094</v>
      </c>
      <c r="D291" s="2">
        <f t="shared" ca="1" si="14"/>
        <v>22</v>
      </c>
    </row>
    <row r="292" spans="1:4" ht="15" x14ac:dyDescent="0.2">
      <c r="A292" s="1">
        <v>290</v>
      </c>
      <c r="B292" s="3">
        <f t="shared" ca="1" si="15"/>
        <v>0.79939644885670014</v>
      </c>
      <c r="C292" s="3">
        <f t="shared" ca="1" si="13"/>
        <v>32.51840205697281</v>
      </c>
      <c r="D292" s="2">
        <f t="shared" ca="1" si="14"/>
        <v>33</v>
      </c>
    </row>
    <row r="293" spans="1:4" ht="15" x14ac:dyDescent="0.2">
      <c r="A293" s="1">
        <v>291</v>
      </c>
      <c r="B293" s="3">
        <f t="shared" ca="1" si="15"/>
        <v>0.35256368762569645</v>
      </c>
      <c r="C293" s="3">
        <f t="shared" ca="1" si="13"/>
        <v>28.864775390586757</v>
      </c>
      <c r="D293" s="2">
        <f t="shared" ca="1" si="14"/>
        <v>29</v>
      </c>
    </row>
    <row r="294" spans="1:4" ht="15" x14ac:dyDescent="0.2">
      <c r="A294" s="1">
        <v>292</v>
      </c>
      <c r="B294" s="3">
        <f t="shared" ca="1" si="15"/>
        <v>0.46574557318742593</v>
      </c>
      <c r="C294" s="3">
        <f t="shared" ca="1" si="13"/>
        <v>29.742093324523204</v>
      </c>
      <c r="D294" s="2">
        <f t="shared" ca="1" si="14"/>
        <v>30</v>
      </c>
    </row>
    <row r="295" spans="1:4" ht="15" x14ac:dyDescent="0.2">
      <c r="A295" s="1">
        <v>293</v>
      </c>
      <c r="B295" s="3">
        <f t="shared" ca="1" si="15"/>
        <v>0.24748580660609154</v>
      </c>
      <c r="C295" s="3">
        <f t="shared" ca="1" si="13"/>
        <v>27.952731459476563</v>
      </c>
      <c r="D295" s="2">
        <f t="shared" ca="1" si="14"/>
        <v>28</v>
      </c>
    </row>
    <row r="296" spans="1:4" ht="15" x14ac:dyDescent="0.2">
      <c r="A296" s="1">
        <v>294</v>
      </c>
      <c r="B296" s="3">
        <f t="shared" ca="1" si="15"/>
        <v>0.77685629042142734</v>
      </c>
      <c r="C296" s="3">
        <f t="shared" ca="1" si="13"/>
        <v>32.284857062435549</v>
      </c>
      <c r="D296" s="2">
        <f t="shared" ca="1" si="14"/>
        <v>32</v>
      </c>
    </row>
    <row r="297" spans="1:4" ht="15" x14ac:dyDescent="0.2">
      <c r="A297" s="1">
        <v>295</v>
      </c>
      <c r="B297" s="3">
        <f t="shared" ca="1" si="15"/>
        <v>0.97957873300941867</v>
      </c>
      <c r="C297" s="3">
        <f t="shared" ca="1" si="13"/>
        <v>36.135375066225897</v>
      </c>
      <c r="D297" s="2">
        <f t="shared" ca="1" si="14"/>
        <v>36</v>
      </c>
    </row>
    <row r="298" spans="1:4" ht="15" x14ac:dyDescent="0.2">
      <c r="A298" s="1">
        <v>296</v>
      </c>
      <c r="B298" s="3">
        <f t="shared" ca="1" si="15"/>
        <v>0.80349409058181442</v>
      </c>
      <c r="C298" s="3">
        <f t="shared" ca="1" si="13"/>
        <v>32.562504498628805</v>
      </c>
      <c r="D298" s="2">
        <f t="shared" ca="1" si="14"/>
        <v>33</v>
      </c>
    </row>
    <row r="299" spans="1:4" ht="15" x14ac:dyDescent="0.2">
      <c r="A299" s="1">
        <v>297</v>
      </c>
      <c r="B299" s="3">
        <f t="shared" ca="1" si="15"/>
        <v>7.5248962959071797E-2</v>
      </c>
      <c r="C299" s="3">
        <f t="shared" ca="1" si="13"/>
        <v>25.686675221892617</v>
      </c>
      <c r="D299" s="2">
        <f t="shared" ca="1" si="14"/>
        <v>26</v>
      </c>
    </row>
    <row r="300" spans="1:4" ht="15" x14ac:dyDescent="0.2">
      <c r="A300" s="1">
        <v>298</v>
      </c>
      <c r="B300" s="3">
        <f t="shared" ca="1" si="15"/>
        <v>0.17060075274921949</v>
      </c>
      <c r="C300" s="3">
        <f t="shared" ca="1" si="13"/>
        <v>27.144618236212008</v>
      </c>
      <c r="D300" s="2">
        <f t="shared" ca="1" si="14"/>
        <v>27</v>
      </c>
    </row>
    <row r="301" spans="1:4" ht="15" x14ac:dyDescent="0.2">
      <c r="A301" s="1">
        <v>299</v>
      </c>
      <c r="B301" s="3">
        <f t="shared" ca="1" si="15"/>
        <v>0.78190181354558608</v>
      </c>
      <c r="C301" s="3">
        <f t="shared" ca="1" si="13"/>
        <v>32.335896765357319</v>
      </c>
      <c r="D301" s="2">
        <f t="shared" ca="1" si="14"/>
        <v>32</v>
      </c>
    </row>
    <row r="302" spans="1:4" ht="15" x14ac:dyDescent="0.2">
      <c r="A302" s="1">
        <v>300</v>
      </c>
      <c r="B302" s="3">
        <f t="shared" ca="1" si="15"/>
        <v>0.6773285803803567</v>
      </c>
      <c r="C302" s="3">
        <f t="shared" ca="1" si="13"/>
        <v>31.380724695961437</v>
      </c>
      <c r="D302" s="2">
        <f t="shared" ca="1" si="14"/>
        <v>31</v>
      </c>
    </row>
    <row r="303" spans="1:4" ht="15" x14ac:dyDescent="0.2">
      <c r="A303" s="1">
        <v>301</v>
      </c>
      <c r="B303" s="3">
        <f t="shared" ca="1" si="15"/>
        <v>0.9330102845980397</v>
      </c>
      <c r="C303" s="3">
        <f t="shared" ca="1" si="13"/>
        <v>34.495776908147391</v>
      </c>
      <c r="D303" s="2">
        <f t="shared" ca="1" si="14"/>
        <v>34</v>
      </c>
    </row>
    <row r="304" spans="1:4" ht="15" x14ac:dyDescent="0.2">
      <c r="A304" s="1">
        <v>302</v>
      </c>
      <c r="B304" s="3">
        <f t="shared" ca="1" si="15"/>
        <v>0.73152707046302068</v>
      </c>
      <c r="C304" s="3">
        <f t="shared" ca="1" si="13"/>
        <v>31.852314022668768</v>
      </c>
      <c r="D304" s="2">
        <f t="shared" ca="1" si="14"/>
        <v>32</v>
      </c>
    </row>
    <row r="305" spans="1:4" ht="15" x14ac:dyDescent="0.2">
      <c r="A305" s="1">
        <v>303</v>
      </c>
      <c r="B305" s="3">
        <f t="shared" ca="1" si="15"/>
        <v>0.77374840312548665</v>
      </c>
      <c r="C305" s="3">
        <f t="shared" ca="1" si="13"/>
        <v>32.253745115949812</v>
      </c>
      <c r="D305" s="2">
        <f t="shared" ca="1" si="14"/>
        <v>32</v>
      </c>
    </row>
    <row r="306" spans="1:4" ht="15" x14ac:dyDescent="0.2">
      <c r="A306" s="1">
        <v>304</v>
      </c>
      <c r="B306" s="3">
        <f t="shared" ca="1" si="15"/>
        <v>0.60498816872577388</v>
      </c>
      <c r="C306" s="3">
        <f t="shared" ca="1" si="13"/>
        <v>30.798839658635334</v>
      </c>
      <c r="D306" s="2">
        <f t="shared" ca="1" si="14"/>
        <v>31</v>
      </c>
    </row>
    <row r="307" spans="1:4" ht="15" x14ac:dyDescent="0.2">
      <c r="A307" s="1">
        <v>305</v>
      </c>
      <c r="B307" s="3">
        <f t="shared" ca="1" si="15"/>
        <v>0.79674896902239711</v>
      </c>
      <c r="C307" s="3">
        <f t="shared" ca="1" si="13"/>
        <v>32.490194853595249</v>
      </c>
      <c r="D307" s="2">
        <f t="shared" ca="1" si="14"/>
        <v>32</v>
      </c>
    </row>
    <row r="308" spans="1:4" ht="15" x14ac:dyDescent="0.2">
      <c r="A308" s="1">
        <v>306</v>
      </c>
      <c r="B308" s="3">
        <f t="shared" ca="1" si="15"/>
        <v>0.39223962762931008</v>
      </c>
      <c r="C308" s="3">
        <f t="shared" ca="1" si="13"/>
        <v>29.179540448796502</v>
      </c>
      <c r="D308" s="2">
        <f t="shared" ca="1" si="14"/>
        <v>29</v>
      </c>
    </row>
    <row r="309" spans="1:4" ht="15" x14ac:dyDescent="0.2">
      <c r="A309" s="1">
        <v>307</v>
      </c>
      <c r="B309" s="3">
        <f t="shared" ca="1" si="15"/>
        <v>0.85615688320901584</v>
      </c>
      <c r="C309" s="3">
        <f t="shared" ref="C309:C372" ca="1" si="16">_xlfn.NORM.INV(B309,$I$3,$J$3)</f>
        <v>33.189633274611808</v>
      </c>
      <c r="D309" s="2">
        <f t="shared" ref="D309:D372" ca="1" si="17">ROUND(_xlfn.NORM.INV(B309,$I$3,$J$3),0)</f>
        <v>33</v>
      </c>
    </row>
    <row r="310" spans="1:4" ht="15" x14ac:dyDescent="0.2">
      <c r="A310" s="1">
        <v>308</v>
      </c>
      <c r="B310" s="3">
        <f t="shared" ca="1" si="15"/>
        <v>8.3791916694702873E-2</v>
      </c>
      <c r="C310" s="3">
        <f t="shared" ca="1" si="16"/>
        <v>25.859972606466801</v>
      </c>
      <c r="D310" s="2">
        <f t="shared" ca="1" si="17"/>
        <v>26</v>
      </c>
    </row>
    <row r="311" spans="1:4" ht="15" x14ac:dyDescent="0.2">
      <c r="A311" s="1">
        <v>309</v>
      </c>
      <c r="B311" s="3">
        <f t="shared" ca="1" si="15"/>
        <v>0.78336977442801059</v>
      </c>
      <c r="C311" s="3">
        <f t="shared" ca="1" si="16"/>
        <v>32.350873624664409</v>
      </c>
      <c r="D311" s="2">
        <f t="shared" ca="1" si="17"/>
        <v>32</v>
      </c>
    </row>
    <row r="312" spans="1:4" ht="15" x14ac:dyDescent="0.2">
      <c r="A312" s="1">
        <v>310</v>
      </c>
      <c r="B312" s="3">
        <f t="shared" ca="1" si="15"/>
        <v>0.69183056178123659</v>
      </c>
      <c r="C312" s="3">
        <f t="shared" ca="1" si="16"/>
        <v>31.50313745884425</v>
      </c>
      <c r="D312" s="2">
        <f t="shared" ca="1" si="17"/>
        <v>32</v>
      </c>
    </row>
    <row r="313" spans="1:4" ht="15" x14ac:dyDescent="0.2">
      <c r="A313" s="1">
        <v>311</v>
      </c>
      <c r="B313" s="3">
        <f t="shared" ca="1" si="15"/>
        <v>2.8862603006052368E-3</v>
      </c>
      <c r="C313" s="3">
        <f t="shared" ca="1" si="16"/>
        <v>21.718707943606049</v>
      </c>
      <c r="D313" s="2">
        <f t="shared" ca="1" si="17"/>
        <v>22</v>
      </c>
    </row>
    <row r="314" spans="1:4" ht="15" x14ac:dyDescent="0.2">
      <c r="A314" s="1">
        <v>312</v>
      </c>
      <c r="B314" s="3">
        <f t="shared" ca="1" si="15"/>
        <v>0.63676253436192454</v>
      </c>
      <c r="C314" s="3">
        <f t="shared" ca="1" si="16"/>
        <v>31.049455431825336</v>
      </c>
      <c r="D314" s="2">
        <f t="shared" ca="1" si="17"/>
        <v>31</v>
      </c>
    </row>
    <row r="315" spans="1:4" ht="15" x14ac:dyDescent="0.2">
      <c r="A315" s="1">
        <v>313</v>
      </c>
      <c r="B315" s="3">
        <f t="shared" ca="1" si="15"/>
        <v>0.7415019156194137</v>
      </c>
      <c r="C315" s="3">
        <f t="shared" ca="1" si="16"/>
        <v>31.943947965211439</v>
      </c>
      <c r="D315" s="2">
        <f t="shared" ca="1" si="17"/>
        <v>32</v>
      </c>
    </row>
    <row r="316" spans="1:4" ht="15" x14ac:dyDescent="0.2">
      <c r="A316" s="1">
        <v>314</v>
      </c>
      <c r="B316" s="3">
        <f t="shared" ca="1" si="15"/>
        <v>0.64048213492913419</v>
      </c>
      <c r="C316" s="3">
        <f t="shared" ca="1" si="16"/>
        <v>31.079243450107448</v>
      </c>
      <c r="D316" s="2">
        <f t="shared" ca="1" si="17"/>
        <v>31</v>
      </c>
    </row>
    <row r="317" spans="1:4" ht="15" x14ac:dyDescent="0.2">
      <c r="A317" s="1">
        <v>315</v>
      </c>
      <c r="B317" s="3">
        <f t="shared" ca="1" si="15"/>
        <v>9.0611029109745944E-2</v>
      </c>
      <c r="C317" s="3">
        <f t="shared" ca="1" si="16"/>
        <v>25.988994682120261</v>
      </c>
      <c r="D317" s="2">
        <f t="shared" ca="1" si="17"/>
        <v>26</v>
      </c>
    </row>
    <row r="318" spans="1:4" ht="15" x14ac:dyDescent="0.2">
      <c r="A318" s="1">
        <v>316</v>
      </c>
      <c r="B318" s="3">
        <f t="shared" ca="1" si="15"/>
        <v>0.15817102743740397</v>
      </c>
      <c r="C318" s="3">
        <f t="shared" ca="1" si="16"/>
        <v>26.993990446839081</v>
      </c>
      <c r="D318" s="2">
        <f t="shared" ca="1" si="17"/>
        <v>27</v>
      </c>
    </row>
    <row r="319" spans="1:4" ht="15" x14ac:dyDescent="0.2">
      <c r="A319" s="1">
        <v>317</v>
      </c>
      <c r="B319" s="3">
        <f t="shared" ca="1" si="15"/>
        <v>0.83325702118113565</v>
      </c>
      <c r="C319" s="3">
        <f t="shared" ca="1" si="16"/>
        <v>32.901348541483173</v>
      </c>
      <c r="D319" s="2">
        <f t="shared" ca="1" si="17"/>
        <v>33</v>
      </c>
    </row>
    <row r="320" spans="1:4" ht="15" x14ac:dyDescent="0.2">
      <c r="A320" s="1">
        <v>318</v>
      </c>
      <c r="B320" s="3">
        <f t="shared" ca="1" si="15"/>
        <v>0.87477753453230256</v>
      </c>
      <c r="C320" s="3">
        <f t="shared" ca="1" si="16"/>
        <v>33.447808060529461</v>
      </c>
      <c r="D320" s="2">
        <f t="shared" ca="1" si="17"/>
        <v>33</v>
      </c>
    </row>
    <row r="321" spans="1:4" ht="15" x14ac:dyDescent="0.2">
      <c r="A321" s="1">
        <v>319</v>
      </c>
      <c r="B321" s="3">
        <f t="shared" ca="1" si="15"/>
        <v>0.5214967936995889</v>
      </c>
      <c r="C321" s="3">
        <f t="shared" ca="1" si="16"/>
        <v>30.161731720057794</v>
      </c>
      <c r="D321" s="2">
        <f t="shared" ca="1" si="17"/>
        <v>30</v>
      </c>
    </row>
    <row r="322" spans="1:4" ht="15" x14ac:dyDescent="0.2">
      <c r="A322" s="1">
        <v>320</v>
      </c>
      <c r="B322" s="3">
        <f t="shared" ca="1" si="15"/>
        <v>0.9329017105656946</v>
      </c>
      <c r="C322" s="3">
        <f t="shared" ca="1" si="16"/>
        <v>34.493268894936961</v>
      </c>
      <c r="D322" s="2">
        <f t="shared" ca="1" si="17"/>
        <v>34</v>
      </c>
    </row>
    <row r="323" spans="1:4" ht="15" x14ac:dyDescent="0.2">
      <c r="A323" s="1">
        <v>321</v>
      </c>
      <c r="B323" s="3">
        <f t="shared" ca="1" si="15"/>
        <v>0.9665929420775391</v>
      </c>
      <c r="C323" s="3">
        <f t="shared" ca="1" si="16"/>
        <v>35.498767123411952</v>
      </c>
      <c r="D323" s="2">
        <f t="shared" ca="1" si="17"/>
        <v>35</v>
      </c>
    </row>
    <row r="324" spans="1:4" ht="15" x14ac:dyDescent="0.2">
      <c r="A324" s="1">
        <v>322</v>
      </c>
      <c r="B324" s="3">
        <f t="shared" ref="B324:B387" ca="1" si="18">RAND()</f>
        <v>0.17646714121407348</v>
      </c>
      <c r="C324" s="3">
        <f t="shared" ca="1" si="16"/>
        <v>27.213261620339637</v>
      </c>
      <c r="D324" s="2">
        <f t="shared" ca="1" si="17"/>
        <v>27</v>
      </c>
    </row>
    <row r="325" spans="1:4" ht="15" x14ac:dyDescent="0.2">
      <c r="A325" s="1">
        <v>323</v>
      </c>
      <c r="B325" s="3">
        <f t="shared" ca="1" si="18"/>
        <v>0.86430666277810475</v>
      </c>
      <c r="C325" s="3">
        <f t="shared" ca="1" si="16"/>
        <v>33.299624409572559</v>
      </c>
      <c r="D325" s="2">
        <f t="shared" ca="1" si="17"/>
        <v>33</v>
      </c>
    </row>
    <row r="326" spans="1:4" ht="15" x14ac:dyDescent="0.2">
      <c r="A326" s="1">
        <v>324</v>
      </c>
      <c r="B326" s="3">
        <f t="shared" ca="1" si="18"/>
        <v>0.95266704745515385</v>
      </c>
      <c r="C326" s="3">
        <f t="shared" ca="1" si="16"/>
        <v>35.013847291676711</v>
      </c>
      <c r="D326" s="2">
        <f t="shared" ca="1" si="17"/>
        <v>35</v>
      </c>
    </row>
    <row r="327" spans="1:4" ht="15" x14ac:dyDescent="0.2">
      <c r="A327" s="1">
        <v>325</v>
      </c>
      <c r="B327" s="3">
        <f t="shared" ca="1" si="18"/>
        <v>0.74298928047734547</v>
      </c>
      <c r="C327" s="3">
        <f t="shared" ca="1" si="16"/>
        <v>31.95776625528919</v>
      </c>
      <c r="D327" s="2">
        <f t="shared" ca="1" si="17"/>
        <v>32</v>
      </c>
    </row>
    <row r="328" spans="1:4" ht="15" x14ac:dyDescent="0.2">
      <c r="A328" s="1">
        <v>326</v>
      </c>
      <c r="B328" s="3">
        <f t="shared" ca="1" si="18"/>
        <v>0.12279003036426783</v>
      </c>
      <c r="C328" s="3">
        <f t="shared" ca="1" si="16"/>
        <v>26.516543776838827</v>
      </c>
      <c r="D328" s="2">
        <f t="shared" ca="1" si="17"/>
        <v>27</v>
      </c>
    </row>
    <row r="329" spans="1:4" ht="15" x14ac:dyDescent="0.2">
      <c r="A329" s="1">
        <v>327</v>
      </c>
      <c r="B329" s="3">
        <f t="shared" ca="1" si="18"/>
        <v>0.92113846722062764</v>
      </c>
      <c r="C329" s="3">
        <f t="shared" ca="1" si="16"/>
        <v>34.238313021890221</v>
      </c>
      <c r="D329" s="2">
        <f t="shared" ca="1" si="17"/>
        <v>34</v>
      </c>
    </row>
    <row r="330" spans="1:4" ht="15" x14ac:dyDescent="0.2">
      <c r="A330" s="1">
        <v>328</v>
      </c>
      <c r="B330" s="3">
        <f t="shared" ca="1" si="18"/>
        <v>0.13494583590495834</v>
      </c>
      <c r="C330" s="3">
        <f t="shared" ca="1" si="16"/>
        <v>26.690063824686543</v>
      </c>
      <c r="D330" s="2">
        <f t="shared" ca="1" si="17"/>
        <v>27</v>
      </c>
    </row>
    <row r="331" spans="1:4" ht="15" x14ac:dyDescent="0.2">
      <c r="A331" s="1">
        <v>329</v>
      </c>
      <c r="B331" s="3">
        <f t="shared" ca="1" si="18"/>
        <v>0.8673505750165772</v>
      </c>
      <c r="C331" s="3">
        <f t="shared" ca="1" si="16"/>
        <v>33.341862499053761</v>
      </c>
      <c r="D331" s="2">
        <f t="shared" ca="1" si="17"/>
        <v>33</v>
      </c>
    </row>
    <row r="332" spans="1:4" ht="15" x14ac:dyDescent="0.2">
      <c r="A332" s="1">
        <v>330</v>
      </c>
      <c r="B332" s="3">
        <f t="shared" ca="1" si="18"/>
        <v>0.77737919744061468</v>
      </c>
      <c r="C332" s="3">
        <f t="shared" ca="1" si="16"/>
        <v>32.290115841815393</v>
      </c>
      <c r="D332" s="2">
        <f t="shared" ca="1" si="17"/>
        <v>32</v>
      </c>
    </row>
    <row r="333" spans="1:4" ht="15" x14ac:dyDescent="0.2">
      <c r="A333" s="1">
        <v>331</v>
      </c>
      <c r="B333" s="3">
        <f t="shared" ca="1" si="18"/>
        <v>0.13927762565479251</v>
      </c>
      <c r="C333" s="3">
        <f t="shared" ca="1" si="16"/>
        <v>26.749288329328454</v>
      </c>
      <c r="D333" s="2">
        <f t="shared" ca="1" si="17"/>
        <v>27</v>
      </c>
    </row>
    <row r="334" spans="1:4" ht="15" x14ac:dyDescent="0.2">
      <c r="A334" s="1">
        <v>332</v>
      </c>
      <c r="B334" s="3">
        <f t="shared" ca="1" si="18"/>
        <v>0.24619067960806784</v>
      </c>
      <c r="C334" s="3">
        <f t="shared" ca="1" si="16"/>
        <v>27.940421450937603</v>
      </c>
      <c r="D334" s="2">
        <f t="shared" ca="1" si="17"/>
        <v>28</v>
      </c>
    </row>
    <row r="335" spans="1:4" ht="15" x14ac:dyDescent="0.2">
      <c r="A335" s="1">
        <v>333</v>
      </c>
      <c r="B335" s="3">
        <f t="shared" ca="1" si="18"/>
        <v>0.66149119373655396</v>
      </c>
      <c r="C335" s="3">
        <f t="shared" ca="1" si="16"/>
        <v>31.249608892343183</v>
      </c>
      <c r="D335" s="2">
        <f t="shared" ca="1" si="17"/>
        <v>31</v>
      </c>
    </row>
    <row r="336" spans="1:4" ht="15" x14ac:dyDescent="0.2">
      <c r="A336" s="1">
        <v>334</v>
      </c>
      <c r="B336" s="3">
        <f t="shared" ca="1" si="18"/>
        <v>0.7364823043792621</v>
      </c>
      <c r="C336" s="3">
        <f t="shared" ca="1" si="16"/>
        <v>31.897613975261024</v>
      </c>
      <c r="D336" s="2">
        <f t="shared" ca="1" si="17"/>
        <v>32</v>
      </c>
    </row>
    <row r="337" spans="1:4" ht="15" x14ac:dyDescent="0.2">
      <c r="A337" s="1">
        <v>335</v>
      </c>
      <c r="B337" s="3">
        <f t="shared" ca="1" si="18"/>
        <v>0.60759398732976933</v>
      </c>
      <c r="C337" s="3">
        <f t="shared" ca="1" si="16"/>
        <v>30.819160754222864</v>
      </c>
      <c r="D337" s="2">
        <f t="shared" ca="1" si="17"/>
        <v>31</v>
      </c>
    </row>
    <row r="338" spans="1:4" ht="15" x14ac:dyDescent="0.2">
      <c r="A338" s="1">
        <v>336</v>
      </c>
      <c r="B338" s="3">
        <f t="shared" ca="1" si="18"/>
        <v>0.20549947364523657</v>
      </c>
      <c r="C338" s="3">
        <f t="shared" ca="1" si="16"/>
        <v>27.533589093953484</v>
      </c>
      <c r="D338" s="2">
        <f t="shared" ca="1" si="17"/>
        <v>28</v>
      </c>
    </row>
    <row r="339" spans="1:4" ht="15" x14ac:dyDescent="0.2">
      <c r="A339" s="1">
        <v>337</v>
      </c>
      <c r="B339" s="3">
        <f t="shared" ca="1" si="18"/>
        <v>0.93162553458674213</v>
      </c>
      <c r="C339" s="3">
        <f t="shared" ca="1" si="16"/>
        <v>34.464022328327481</v>
      </c>
      <c r="D339" s="2">
        <f t="shared" ca="1" si="17"/>
        <v>34</v>
      </c>
    </row>
    <row r="340" spans="1:4" ht="15" x14ac:dyDescent="0.2">
      <c r="A340" s="1">
        <v>338</v>
      </c>
      <c r="B340" s="3">
        <f t="shared" ca="1" si="18"/>
        <v>0.91472499604437041</v>
      </c>
      <c r="C340" s="3">
        <f t="shared" ca="1" si="16"/>
        <v>34.111316009193793</v>
      </c>
      <c r="D340" s="2">
        <f t="shared" ca="1" si="17"/>
        <v>34</v>
      </c>
    </row>
    <row r="341" spans="1:4" ht="15" x14ac:dyDescent="0.2">
      <c r="A341" s="1">
        <v>339</v>
      </c>
      <c r="B341" s="3">
        <f t="shared" ca="1" si="18"/>
        <v>0.69672648530503123</v>
      </c>
      <c r="C341" s="3">
        <f t="shared" ca="1" si="16"/>
        <v>31.545025718544739</v>
      </c>
      <c r="D341" s="2">
        <f t="shared" ca="1" si="17"/>
        <v>32</v>
      </c>
    </row>
    <row r="342" spans="1:4" ht="15" x14ac:dyDescent="0.2">
      <c r="A342" s="1">
        <v>340</v>
      </c>
      <c r="B342" s="3">
        <f t="shared" ca="1" si="18"/>
        <v>0.69948194359686866</v>
      </c>
      <c r="C342" s="3">
        <f t="shared" ca="1" si="16"/>
        <v>31.568733330107762</v>
      </c>
      <c r="D342" s="2">
        <f t="shared" ca="1" si="17"/>
        <v>32</v>
      </c>
    </row>
    <row r="343" spans="1:4" ht="15" x14ac:dyDescent="0.2">
      <c r="A343" s="1">
        <v>341</v>
      </c>
      <c r="B343" s="3">
        <f t="shared" ca="1" si="18"/>
        <v>0.26699220832739767</v>
      </c>
      <c r="C343" s="3">
        <f t="shared" ca="1" si="16"/>
        <v>28.134194119413781</v>
      </c>
      <c r="D343" s="2">
        <f t="shared" ca="1" si="17"/>
        <v>28</v>
      </c>
    </row>
    <row r="344" spans="1:4" ht="15" x14ac:dyDescent="0.2">
      <c r="A344" s="1">
        <v>342</v>
      </c>
      <c r="B344" s="3">
        <f t="shared" ca="1" si="18"/>
        <v>0.76615058530382318</v>
      </c>
      <c r="C344" s="3">
        <f t="shared" ca="1" si="16"/>
        <v>32.178684882007929</v>
      </c>
      <c r="D344" s="2">
        <f t="shared" ca="1" si="17"/>
        <v>32</v>
      </c>
    </row>
    <row r="345" spans="1:4" ht="15" x14ac:dyDescent="0.2">
      <c r="A345" s="1">
        <v>343</v>
      </c>
      <c r="B345" s="3">
        <f t="shared" ca="1" si="18"/>
        <v>0.29350581262150088</v>
      </c>
      <c r="C345" s="3">
        <f t="shared" ca="1" si="16"/>
        <v>28.370485055123545</v>
      </c>
      <c r="D345" s="2">
        <f t="shared" ca="1" si="17"/>
        <v>28</v>
      </c>
    </row>
    <row r="346" spans="1:4" ht="15" x14ac:dyDescent="0.2">
      <c r="A346" s="1">
        <v>344</v>
      </c>
      <c r="B346" s="3">
        <f t="shared" ca="1" si="18"/>
        <v>0.18685522856985015</v>
      </c>
      <c r="C346" s="3">
        <f t="shared" ca="1" si="16"/>
        <v>27.331366156969001</v>
      </c>
      <c r="D346" s="2">
        <f t="shared" ca="1" si="17"/>
        <v>27</v>
      </c>
    </row>
    <row r="347" spans="1:4" ht="15" x14ac:dyDescent="0.2">
      <c r="A347" s="1">
        <v>345</v>
      </c>
      <c r="B347" s="3">
        <f t="shared" ca="1" si="18"/>
        <v>0.96720817582653318</v>
      </c>
      <c r="C347" s="3">
        <f t="shared" ca="1" si="16"/>
        <v>35.52377627486166</v>
      </c>
      <c r="D347" s="2">
        <f t="shared" ca="1" si="17"/>
        <v>36</v>
      </c>
    </row>
    <row r="348" spans="1:4" ht="15" x14ac:dyDescent="0.2">
      <c r="A348" s="1">
        <v>346</v>
      </c>
      <c r="B348" s="3">
        <f t="shared" ca="1" si="18"/>
        <v>0.7205396805983415</v>
      </c>
      <c r="C348" s="3">
        <f t="shared" ca="1" si="16"/>
        <v>31.753336426334755</v>
      </c>
      <c r="D348" s="2">
        <f t="shared" ca="1" si="17"/>
        <v>32</v>
      </c>
    </row>
    <row r="349" spans="1:4" ht="15" x14ac:dyDescent="0.2">
      <c r="A349" s="1">
        <v>347</v>
      </c>
      <c r="B349" s="3">
        <f t="shared" ca="1" si="18"/>
        <v>0.82231093545118594</v>
      </c>
      <c r="C349" s="3">
        <f t="shared" ca="1" si="16"/>
        <v>32.77262343599169</v>
      </c>
      <c r="D349" s="2">
        <f t="shared" ca="1" si="17"/>
        <v>33</v>
      </c>
    </row>
    <row r="350" spans="1:4" ht="15" x14ac:dyDescent="0.2">
      <c r="A350" s="1">
        <v>348</v>
      </c>
      <c r="B350" s="3">
        <f t="shared" ca="1" si="18"/>
        <v>0.58156222241978139</v>
      </c>
      <c r="C350" s="3">
        <f t="shared" ca="1" si="16"/>
        <v>30.617674922700779</v>
      </c>
      <c r="D350" s="2">
        <f t="shared" ca="1" si="17"/>
        <v>31</v>
      </c>
    </row>
    <row r="351" spans="1:4" ht="15" x14ac:dyDescent="0.2">
      <c r="A351" s="1">
        <v>349</v>
      </c>
      <c r="B351" s="3">
        <f t="shared" ca="1" si="18"/>
        <v>0.98146869339745391</v>
      </c>
      <c r="C351" s="3">
        <f t="shared" ca="1" si="16"/>
        <v>36.255221031977591</v>
      </c>
      <c r="D351" s="2">
        <f t="shared" ca="1" si="17"/>
        <v>36</v>
      </c>
    </row>
    <row r="352" spans="1:4" ht="15" x14ac:dyDescent="0.2">
      <c r="A352" s="1">
        <v>350</v>
      </c>
      <c r="B352" s="3">
        <f t="shared" ca="1" si="18"/>
        <v>0.27662782950288123</v>
      </c>
      <c r="C352" s="3">
        <f t="shared" ca="1" si="16"/>
        <v>28.221333981254265</v>
      </c>
      <c r="D352" s="2">
        <f t="shared" ca="1" si="17"/>
        <v>28</v>
      </c>
    </row>
    <row r="353" spans="1:4" ht="15" x14ac:dyDescent="0.2">
      <c r="A353" s="1">
        <v>351</v>
      </c>
      <c r="B353" s="3">
        <f t="shared" ca="1" si="18"/>
        <v>0.27845533167498138</v>
      </c>
      <c r="C353" s="3">
        <f t="shared" ca="1" si="16"/>
        <v>28.23769084541464</v>
      </c>
      <c r="D353" s="2">
        <f t="shared" ca="1" si="17"/>
        <v>28</v>
      </c>
    </row>
    <row r="354" spans="1:4" ht="15" x14ac:dyDescent="0.2">
      <c r="A354" s="1">
        <v>352</v>
      </c>
      <c r="B354" s="3">
        <f t="shared" ca="1" si="18"/>
        <v>0.87596540098944531</v>
      </c>
      <c r="C354" s="3">
        <f t="shared" ca="1" si="16"/>
        <v>33.465155522146787</v>
      </c>
      <c r="D354" s="2">
        <f t="shared" ca="1" si="17"/>
        <v>33</v>
      </c>
    </row>
    <row r="355" spans="1:4" ht="15" x14ac:dyDescent="0.2">
      <c r="A355" s="1">
        <v>353</v>
      </c>
      <c r="B355" s="3">
        <f t="shared" ca="1" si="18"/>
        <v>0.92077274588371294</v>
      </c>
      <c r="C355" s="3">
        <f t="shared" ca="1" si="16"/>
        <v>34.230865546578755</v>
      </c>
      <c r="D355" s="2">
        <f t="shared" ca="1" si="17"/>
        <v>34</v>
      </c>
    </row>
    <row r="356" spans="1:4" ht="15" x14ac:dyDescent="0.2">
      <c r="A356" s="1">
        <v>354</v>
      </c>
      <c r="B356" s="3">
        <f t="shared" ca="1" si="18"/>
        <v>0.5403111944754756</v>
      </c>
      <c r="C356" s="3">
        <f t="shared" ca="1" si="16"/>
        <v>30.303653233253129</v>
      </c>
      <c r="D356" s="2">
        <f t="shared" ca="1" si="17"/>
        <v>30</v>
      </c>
    </row>
    <row r="357" spans="1:4" ht="15" x14ac:dyDescent="0.2">
      <c r="A357" s="1">
        <v>355</v>
      </c>
      <c r="B357" s="3">
        <f t="shared" ca="1" si="18"/>
        <v>4.5196117856551754E-2</v>
      </c>
      <c r="C357" s="3">
        <f t="shared" ca="1" si="16"/>
        <v>24.920003138403874</v>
      </c>
      <c r="D357" s="2">
        <f t="shared" ca="1" si="17"/>
        <v>25</v>
      </c>
    </row>
    <row r="358" spans="1:4" ht="15" x14ac:dyDescent="0.2">
      <c r="A358" s="1">
        <v>356</v>
      </c>
      <c r="B358" s="3">
        <f t="shared" ca="1" si="18"/>
        <v>0.62169745373494256</v>
      </c>
      <c r="C358" s="3">
        <f t="shared" ca="1" si="16"/>
        <v>30.929825883543138</v>
      </c>
      <c r="D358" s="2">
        <f t="shared" ca="1" si="17"/>
        <v>31</v>
      </c>
    </row>
    <row r="359" spans="1:4" ht="15" x14ac:dyDescent="0.2">
      <c r="A359" s="1">
        <v>357</v>
      </c>
      <c r="B359" s="3">
        <f t="shared" ca="1" si="18"/>
        <v>0.77507352219842907</v>
      </c>
      <c r="C359" s="3">
        <f t="shared" ca="1" si="16"/>
        <v>32.266980583644006</v>
      </c>
      <c r="D359" s="2">
        <f t="shared" ca="1" si="17"/>
        <v>32</v>
      </c>
    </row>
    <row r="360" spans="1:4" ht="15" x14ac:dyDescent="0.2">
      <c r="A360" s="1">
        <v>358</v>
      </c>
      <c r="B360" s="3">
        <f t="shared" ca="1" si="18"/>
        <v>0.85737040188505809</v>
      </c>
      <c r="C360" s="3">
        <f t="shared" ca="1" si="16"/>
        <v>33.205738458133318</v>
      </c>
      <c r="D360" s="2">
        <f t="shared" ca="1" si="17"/>
        <v>33</v>
      </c>
    </row>
    <row r="361" spans="1:4" ht="15" x14ac:dyDescent="0.2">
      <c r="A361" s="1">
        <v>359</v>
      </c>
      <c r="B361" s="3">
        <f t="shared" ca="1" si="18"/>
        <v>0.74016280306185855</v>
      </c>
      <c r="C361" s="3">
        <f t="shared" ca="1" si="16"/>
        <v>31.931542197873576</v>
      </c>
      <c r="D361" s="2">
        <f t="shared" ca="1" si="17"/>
        <v>32</v>
      </c>
    </row>
    <row r="362" spans="1:4" ht="15" x14ac:dyDescent="0.2">
      <c r="A362" s="1">
        <v>360</v>
      </c>
      <c r="B362" s="3">
        <f t="shared" ca="1" si="18"/>
        <v>5.2325099305825518E-3</v>
      </c>
      <c r="C362" s="3">
        <f t="shared" ca="1" si="16"/>
        <v>22.319781202493303</v>
      </c>
      <c r="D362" s="2">
        <f t="shared" ca="1" si="17"/>
        <v>22</v>
      </c>
    </row>
    <row r="363" spans="1:4" ht="15" x14ac:dyDescent="0.2">
      <c r="A363" s="1">
        <v>361</v>
      </c>
      <c r="B363" s="3">
        <f t="shared" ca="1" si="18"/>
        <v>0.56794235433125639</v>
      </c>
      <c r="C363" s="3">
        <f t="shared" ca="1" si="16"/>
        <v>30.513413868722491</v>
      </c>
      <c r="D363" s="2">
        <f t="shared" ca="1" si="17"/>
        <v>31</v>
      </c>
    </row>
    <row r="364" spans="1:4" ht="15" x14ac:dyDescent="0.2">
      <c r="A364" s="1">
        <v>362</v>
      </c>
      <c r="B364" s="3">
        <f t="shared" ca="1" si="18"/>
        <v>0.29709115369520345</v>
      </c>
      <c r="C364" s="3">
        <f t="shared" ca="1" si="16"/>
        <v>28.40164451871836</v>
      </c>
      <c r="D364" s="2">
        <f t="shared" ca="1" si="17"/>
        <v>28</v>
      </c>
    </row>
    <row r="365" spans="1:4" ht="15" x14ac:dyDescent="0.2">
      <c r="A365" s="1">
        <v>363</v>
      </c>
      <c r="B365" s="3">
        <f t="shared" ca="1" si="18"/>
        <v>0.87087971919023233</v>
      </c>
      <c r="C365" s="3">
        <f t="shared" ca="1" si="16"/>
        <v>33.39167835931044</v>
      </c>
      <c r="D365" s="2">
        <f t="shared" ca="1" si="17"/>
        <v>33</v>
      </c>
    </row>
    <row r="366" spans="1:4" ht="15" x14ac:dyDescent="0.2">
      <c r="A366" s="1">
        <v>364</v>
      </c>
      <c r="B366" s="3">
        <f t="shared" ca="1" si="18"/>
        <v>0.17111686762950618</v>
      </c>
      <c r="C366" s="3">
        <f t="shared" ca="1" si="16"/>
        <v>27.150717168977454</v>
      </c>
      <c r="D366" s="2">
        <f t="shared" ca="1" si="17"/>
        <v>27</v>
      </c>
    </row>
    <row r="367" spans="1:4" ht="15" x14ac:dyDescent="0.2">
      <c r="A367" s="1">
        <v>365</v>
      </c>
      <c r="B367" s="3">
        <f t="shared" ca="1" si="18"/>
        <v>0.65808704363071169</v>
      </c>
      <c r="C367" s="3">
        <f t="shared" ca="1" si="16"/>
        <v>31.221743746162076</v>
      </c>
      <c r="D367" s="2">
        <f t="shared" ca="1" si="17"/>
        <v>31</v>
      </c>
    </row>
    <row r="368" spans="1:4" ht="15" x14ac:dyDescent="0.2">
      <c r="A368" s="1">
        <v>366</v>
      </c>
      <c r="B368" s="3">
        <f t="shared" ca="1" si="18"/>
        <v>0.58458038244857258</v>
      </c>
      <c r="C368" s="3">
        <f t="shared" ca="1" si="16"/>
        <v>30.640876027552441</v>
      </c>
      <c r="D368" s="2">
        <f t="shared" ca="1" si="17"/>
        <v>31</v>
      </c>
    </row>
    <row r="369" spans="1:4" ht="15" x14ac:dyDescent="0.2">
      <c r="A369" s="1">
        <v>367</v>
      </c>
      <c r="B369" s="3">
        <f t="shared" ca="1" si="18"/>
        <v>0.28801442301270941</v>
      </c>
      <c r="C369" s="3">
        <f t="shared" ca="1" si="16"/>
        <v>28.322415883141385</v>
      </c>
      <c r="D369" s="2">
        <f t="shared" ca="1" si="17"/>
        <v>28</v>
      </c>
    </row>
    <row r="370" spans="1:4" ht="15" x14ac:dyDescent="0.2">
      <c r="A370" s="1">
        <v>368</v>
      </c>
      <c r="B370" s="3">
        <f t="shared" ca="1" si="18"/>
        <v>0.84144283708691192</v>
      </c>
      <c r="C370" s="3">
        <f t="shared" ca="1" si="16"/>
        <v>33.00121639808556</v>
      </c>
      <c r="D370" s="2">
        <f t="shared" ca="1" si="17"/>
        <v>33</v>
      </c>
    </row>
    <row r="371" spans="1:4" ht="15" x14ac:dyDescent="0.2">
      <c r="A371" s="1">
        <v>369</v>
      </c>
      <c r="B371" s="3">
        <f t="shared" ca="1" si="18"/>
        <v>0.96721547848060174</v>
      </c>
      <c r="C371" s="3">
        <f t="shared" ca="1" si="16"/>
        <v>35.524075440498578</v>
      </c>
      <c r="D371" s="2">
        <f t="shared" ca="1" si="17"/>
        <v>36</v>
      </c>
    </row>
    <row r="372" spans="1:4" ht="15" x14ac:dyDescent="0.2">
      <c r="A372" s="1">
        <v>370</v>
      </c>
      <c r="B372" s="3">
        <f t="shared" ca="1" si="18"/>
        <v>0.96678624548347869</v>
      </c>
      <c r="C372" s="3">
        <f t="shared" ca="1" si="16"/>
        <v>35.506583700978688</v>
      </c>
      <c r="D372" s="2">
        <f t="shared" ca="1" si="17"/>
        <v>36</v>
      </c>
    </row>
    <row r="373" spans="1:4" ht="15" x14ac:dyDescent="0.2">
      <c r="A373" s="1">
        <v>371</v>
      </c>
      <c r="B373" s="3">
        <f t="shared" ca="1" si="18"/>
        <v>0.11149585720723754</v>
      </c>
      <c r="C373" s="3">
        <f t="shared" ref="C373:C436" ca="1" si="19">_xlfn.NORM.INV(B373,$I$3,$J$3)</f>
        <v>26.344165754914552</v>
      </c>
      <c r="D373" s="2">
        <f t="shared" ref="D373:D436" ca="1" si="20">ROUND(_xlfn.NORM.INV(B373,$I$3,$J$3),0)</f>
        <v>26</v>
      </c>
    </row>
    <row r="374" spans="1:4" ht="15" x14ac:dyDescent="0.2">
      <c r="A374" s="1">
        <v>372</v>
      </c>
      <c r="B374" s="3">
        <f t="shared" ca="1" si="18"/>
        <v>0.26578592055294381</v>
      </c>
      <c r="C374" s="3">
        <f t="shared" ca="1" si="19"/>
        <v>28.123174861008106</v>
      </c>
      <c r="D374" s="2">
        <f t="shared" ca="1" si="20"/>
        <v>28</v>
      </c>
    </row>
    <row r="375" spans="1:4" ht="15" x14ac:dyDescent="0.2">
      <c r="A375" s="1">
        <v>373</v>
      </c>
      <c r="B375" s="3">
        <f t="shared" ca="1" si="18"/>
        <v>0.18620701840436726</v>
      </c>
      <c r="C375" s="3">
        <f t="shared" ca="1" si="19"/>
        <v>27.324118119909251</v>
      </c>
      <c r="D375" s="2">
        <f t="shared" ca="1" si="20"/>
        <v>27</v>
      </c>
    </row>
    <row r="376" spans="1:4" ht="15" x14ac:dyDescent="0.2">
      <c r="A376" s="1">
        <v>374</v>
      </c>
      <c r="B376" s="3">
        <f t="shared" ca="1" si="18"/>
        <v>0.74230201114761141</v>
      </c>
      <c r="C376" s="3">
        <f t="shared" ca="1" si="19"/>
        <v>31.951376068599803</v>
      </c>
      <c r="D376" s="2">
        <f t="shared" ca="1" si="20"/>
        <v>32</v>
      </c>
    </row>
    <row r="377" spans="1:4" ht="15" x14ac:dyDescent="0.2">
      <c r="A377" s="1">
        <v>375</v>
      </c>
      <c r="B377" s="3">
        <f t="shared" ca="1" si="18"/>
        <v>0.63698599821262503</v>
      </c>
      <c r="C377" s="3">
        <f t="shared" ca="1" si="19"/>
        <v>31.051242070303921</v>
      </c>
      <c r="D377" s="2">
        <f t="shared" ca="1" si="20"/>
        <v>31</v>
      </c>
    </row>
    <row r="378" spans="1:4" ht="15" x14ac:dyDescent="0.2">
      <c r="A378" s="1">
        <v>376</v>
      </c>
      <c r="B378" s="3">
        <f t="shared" ca="1" si="18"/>
        <v>0.14435605615737013</v>
      </c>
      <c r="C378" s="3">
        <f t="shared" ca="1" si="19"/>
        <v>26.817146618259379</v>
      </c>
      <c r="D378" s="2">
        <f t="shared" ca="1" si="20"/>
        <v>27</v>
      </c>
    </row>
    <row r="379" spans="1:4" ht="15" x14ac:dyDescent="0.2">
      <c r="A379" s="1">
        <v>377</v>
      </c>
      <c r="B379" s="3">
        <f t="shared" ca="1" si="18"/>
        <v>0.45507634841892042</v>
      </c>
      <c r="C379" s="3">
        <f t="shared" ca="1" si="19"/>
        <v>29.661462182881291</v>
      </c>
      <c r="D379" s="2">
        <f t="shared" ca="1" si="20"/>
        <v>30</v>
      </c>
    </row>
    <row r="380" spans="1:4" ht="15" x14ac:dyDescent="0.2">
      <c r="A380" s="1">
        <v>378</v>
      </c>
      <c r="B380" s="3">
        <f t="shared" ca="1" si="18"/>
        <v>0.88382551134507281</v>
      </c>
      <c r="C380" s="3">
        <f t="shared" ca="1" si="19"/>
        <v>33.582989459862397</v>
      </c>
      <c r="D380" s="2">
        <f t="shared" ca="1" si="20"/>
        <v>34</v>
      </c>
    </row>
    <row r="381" spans="1:4" ht="15" x14ac:dyDescent="0.2">
      <c r="A381" s="1">
        <v>379</v>
      </c>
      <c r="B381" s="3">
        <f t="shared" ca="1" si="18"/>
        <v>0.69457620790823449</v>
      </c>
      <c r="C381" s="3">
        <f t="shared" ca="1" si="19"/>
        <v>31.526591876653953</v>
      </c>
      <c r="D381" s="2">
        <f t="shared" ca="1" si="20"/>
        <v>32</v>
      </c>
    </row>
    <row r="382" spans="1:4" ht="15" x14ac:dyDescent="0.2">
      <c r="A382" s="1">
        <v>380</v>
      </c>
      <c r="B382" s="3">
        <f t="shared" ca="1" si="18"/>
        <v>0.38151162688151574</v>
      </c>
      <c r="C382" s="3">
        <f t="shared" ca="1" si="19"/>
        <v>29.095460666926048</v>
      </c>
      <c r="D382" s="2">
        <f t="shared" ca="1" si="20"/>
        <v>29</v>
      </c>
    </row>
    <row r="383" spans="1:4" ht="15" x14ac:dyDescent="0.2">
      <c r="A383" s="1">
        <v>381</v>
      </c>
      <c r="B383" s="3">
        <f t="shared" ca="1" si="18"/>
        <v>0.3668071631332368</v>
      </c>
      <c r="C383" s="3">
        <f t="shared" ca="1" si="19"/>
        <v>28.979035095602022</v>
      </c>
      <c r="D383" s="2">
        <f t="shared" ca="1" si="20"/>
        <v>29</v>
      </c>
    </row>
    <row r="384" spans="1:4" ht="15" x14ac:dyDescent="0.2">
      <c r="A384" s="1">
        <v>382</v>
      </c>
      <c r="B384" s="3">
        <f t="shared" ca="1" si="18"/>
        <v>0.33098929215978112</v>
      </c>
      <c r="C384" s="3">
        <f t="shared" ca="1" si="19"/>
        <v>28.688450779968321</v>
      </c>
      <c r="D384" s="2">
        <f t="shared" ca="1" si="20"/>
        <v>29</v>
      </c>
    </row>
    <row r="385" spans="1:4" ht="15" x14ac:dyDescent="0.2">
      <c r="A385" s="1">
        <v>383</v>
      </c>
      <c r="B385" s="3">
        <f t="shared" ca="1" si="18"/>
        <v>0.16896623410920031</v>
      </c>
      <c r="C385" s="3">
        <f t="shared" ca="1" si="19"/>
        <v>27.125224758355621</v>
      </c>
      <c r="D385" s="2">
        <f t="shared" ca="1" si="20"/>
        <v>27</v>
      </c>
    </row>
    <row r="386" spans="1:4" ht="15" x14ac:dyDescent="0.2">
      <c r="A386" s="1">
        <v>384</v>
      </c>
      <c r="B386" s="3">
        <f t="shared" ca="1" si="18"/>
        <v>4.1207422393857662E-2</v>
      </c>
      <c r="C386" s="3">
        <f t="shared" ca="1" si="19"/>
        <v>24.789470286634039</v>
      </c>
      <c r="D386" s="2">
        <f t="shared" ca="1" si="20"/>
        <v>25</v>
      </c>
    </row>
    <row r="387" spans="1:4" ht="15" x14ac:dyDescent="0.2">
      <c r="A387" s="1">
        <v>385</v>
      </c>
      <c r="B387" s="3">
        <f t="shared" ca="1" si="18"/>
        <v>0.28833239186685788</v>
      </c>
      <c r="C387" s="3">
        <f t="shared" ca="1" si="19"/>
        <v>28.325210899551017</v>
      </c>
      <c r="D387" s="2">
        <f t="shared" ca="1" si="20"/>
        <v>28</v>
      </c>
    </row>
    <row r="388" spans="1:4" ht="15" x14ac:dyDescent="0.2">
      <c r="A388" s="1">
        <v>386</v>
      </c>
      <c r="B388" s="3">
        <f t="shared" ref="B388:B451" ca="1" si="21">RAND()</f>
        <v>8.2151347573701239E-2</v>
      </c>
      <c r="C388" s="3">
        <f t="shared" ca="1" si="19"/>
        <v>25.827764293572514</v>
      </c>
      <c r="D388" s="2">
        <f t="shared" ca="1" si="20"/>
        <v>26</v>
      </c>
    </row>
    <row r="389" spans="1:4" ht="15" x14ac:dyDescent="0.2">
      <c r="A389" s="1">
        <v>387</v>
      </c>
      <c r="B389" s="3">
        <f t="shared" ca="1" si="21"/>
        <v>0.75076927165416041</v>
      </c>
      <c r="C389" s="3">
        <f t="shared" ca="1" si="19"/>
        <v>32.03073757549334</v>
      </c>
      <c r="D389" s="2">
        <f t="shared" ca="1" si="20"/>
        <v>32</v>
      </c>
    </row>
    <row r="390" spans="1:4" ht="15" x14ac:dyDescent="0.2">
      <c r="A390" s="1">
        <v>388</v>
      </c>
      <c r="B390" s="3">
        <f t="shared" ca="1" si="21"/>
        <v>0.68427894928654398</v>
      </c>
      <c r="C390" s="3">
        <f t="shared" ca="1" si="19"/>
        <v>31.439094205920568</v>
      </c>
      <c r="D390" s="2">
        <f t="shared" ca="1" si="20"/>
        <v>31</v>
      </c>
    </row>
    <row r="391" spans="1:4" ht="15" x14ac:dyDescent="0.2">
      <c r="A391" s="1">
        <v>389</v>
      </c>
      <c r="B391" s="3">
        <f t="shared" ca="1" si="21"/>
        <v>0.82887498077448896</v>
      </c>
      <c r="C391" s="3">
        <f t="shared" ca="1" si="19"/>
        <v>32.849186598030556</v>
      </c>
      <c r="D391" s="2">
        <f t="shared" ca="1" si="20"/>
        <v>33</v>
      </c>
    </row>
    <row r="392" spans="1:4" ht="15" x14ac:dyDescent="0.2">
      <c r="A392" s="1">
        <v>390</v>
      </c>
      <c r="B392" s="3">
        <f t="shared" ca="1" si="21"/>
        <v>0.92963911119447362</v>
      </c>
      <c r="C392" s="3">
        <f t="shared" ca="1" si="19"/>
        <v>34.419325546998927</v>
      </c>
      <c r="D392" s="2">
        <f t="shared" ca="1" si="20"/>
        <v>34</v>
      </c>
    </row>
    <row r="393" spans="1:4" ht="15" x14ac:dyDescent="0.2">
      <c r="A393" s="1">
        <v>391</v>
      </c>
      <c r="B393" s="3">
        <f t="shared" ca="1" si="21"/>
        <v>9.4447811382052382E-3</v>
      </c>
      <c r="C393" s="3">
        <f t="shared" ca="1" si="19"/>
        <v>22.956890145739177</v>
      </c>
      <c r="D393" s="2">
        <f t="shared" ca="1" si="20"/>
        <v>23</v>
      </c>
    </row>
    <row r="394" spans="1:4" ht="15" x14ac:dyDescent="0.2">
      <c r="A394" s="1">
        <v>392</v>
      </c>
      <c r="B394" s="3">
        <f t="shared" ca="1" si="21"/>
        <v>0.65406035848967714</v>
      </c>
      <c r="C394" s="3">
        <f t="shared" ca="1" si="19"/>
        <v>31.188918075091674</v>
      </c>
      <c r="D394" s="2">
        <f t="shared" ca="1" si="20"/>
        <v>31</v>
      </c>
    </row>
    <row r="395" spans="1:4" ht="15" x14ac:dyDescent="0.2">
      <c r="A395" s="1">
        <v>393</v>
      </c>
      <c r="B395" s="3">
        <f t="shared" ca="1" si="21"/>
        <v>0.48162695816430579</v>
      </c>
      <c r="C395" s="3">
        <f t="shared" ca="1" si="19"/>
        <v>29.861787964414827</v>
      </c>
      <c r="D395" s="2">
        <f t="shared" ca="1" si="20"/>
        <v>30</v>
      </c>
    </row>
    <row r="396" spans="1:4" ht="15" x14ac:dyDescent="0.2">
      <c r="A396" s="1">
        <v>394</v>
      </c>
      <c r="B396" s="3">
        <f t="shared" ca="1" si="21"/>
        <v>0.9967888794130928</v>
      </c>
      <c r="C396" s="3">
        <f t="shared" ca="1" si="19"/>
        <v>38.176218755435109</v>
      </c>
      <c r="D396" s="2">
        <f t="shared" ca="1" si="20"/>
        <v>38</v>
      </c>
    </row>
    <row r="397" spans="1:4" ht="15" x14ac:dyDescent="0.2">
      <c r="A397" s="1">
        <v>395</v>
      </c>
      <c r="B397" s="3">
        <f t="shared" ca="1" si="21"/>
        <v>0.74042277140916746</v>
      </c>
      <c r="C397" s="3">
        <f t="shared" ca="1" si="19"/>
        <v>31.933948000113933</v>
      </c>
      <c r="D397" s="2">
        <f t="shared" ca="1" si="20"/>
        <v>32</v>
      </c>
    </row>
    <row r="398" spans="1:4" ht="15" x14ac:dyDescent="0.2">
      <c r="A398" s="1">
        <v>396</v>
      </c>
      <c r="B398" s="3">
        <f t="shared" ca="1" si="21"/>
        <v>0.91096044771267248</v>
      </c>
      <c r="C398" s="3">
        <f t="shared" ca="1" si="19"/>
        <v>34.04007921512224</v>
      </c>
      <c r="D398" s="2">
        <f t="shared" ca="1" si="20"/>
        <v>34</v>
      </c>
    </row>
    <row r="399" spans="1:4" ht="15" x14ac:dyDescent="0.2">
      <c r="A399" s="1">
        <v>397</v>
      </c>
      <c r="B399" s="3">
        <f t="shared" ca="1" si="21"/>
        <v>0.57363731859110734</v>
      </c>
      <c r="C399" s="3">
        <f t="shared" ca="1" si="19"/>
        <v>30.556926581320809</v>
      </c>
      <c r="D399" s="2">
        <f t="shared" ca="1" si="20"/>
        <v>31</v>
      </c>
    </row>
    <row r="400" spans="1:4" ht="15" x14ac:dyDescent="0.2">
      <c r="A400" s="1">
        <v>398</v>
      </c>
      <c r="B400" s="3">
        <f t="shared" ca="1" si="21"/>
        <v>0.77591981858307246</v>
      </c>
      <c r="C400" s="3">
        <f t="shared" ca="1" si="19"/>
        <v>32.27545663742054</v>
      </c>
      <c r="D400" s="2">
        <f t="shared" ca="1" si="20"/>
        <v>32</v>
      </c>
    </row>
    <row r="401" spans="1:4" ht="15" x14ac:dyDescent="0.2">
      <c r="A401" s="1">
        <v>399</v>
      </c>
      <c r="B401" s="3">
        <f t="shared" ca="1" si="21"/>
        <v>2.7671167539359831E-2</v>
      </c>
      <c r="C401" s="3">
        <f t="shared" ca="1" si="19"/>
        <v>24.251463463581359</v>
      </c>
      <c r="D401" s="2">
        <f t="shared" ca="1" si="20"/>
        <v>24</v>
      </c>
    </row>
    <row r="402" spans="1:4" ht="15" x14ac:dyDescent="0.2">
      <c r="A402" s="1">
        <v>400</v>
      </c>
      <c r="B402" s="3">
        <f t="shared" ca="1" si="21"/>
        <v>9.606031893360889E-2</v>
      </c>
      <c r="C402" s="3">
        <f t="shared" ca="1" si="19"/>
        <v>26.087006012853632</v>
      </c>
      <c r="D402" s="2">
        <f t="shared" ca="1" si="20"/>
        <v>26</v>
      </c>
    </row>
    <row r="403" spans="1:4" ht="15" x14ac:dyDescent="0.2">
      <c r="A403" s="1">
        <v>401</v>
      </c>
      <c r="B403" s="3">
        <f t="shared" ca="1" si="21"/>
        <v>0.5355460424590841</v>
      </c>
      <c r="C403" s="3">
        <f t="shared" ca="1" si="19"/>
        <v>30.267656813873636</v>
      </c>
      <c r="D403" s="2">
        <f t="shared" ca="1" si="20"/>
        <v>30</v>
      </c>
    </row>
    <row r="404" spans="1:4" ht="15" x14ac:dyDescent="0.2">
      <c r="A404" s="1">
        <v>402</v>
      </c>
      <c r="B404" s="3">
        <f t="shared" ca="1" si="21"/>
        <v>0.2426148834246602</v>
      </c>
      <c r="C404" s="3">
        <f t="shared" ca="1" si="19"/>
        <v>27.906252188009198</v>
      </c>
      <c r="D404" s="2">
        <f t="shared" ca="1" si="20"/>
        <v>28</v>
      </c>
    </row>
    <row r="405" spans="1:4" ht="15" x14ac:dyDescent="0.2">
      <c r="A405" s="1">
        <v>403</v>
      </c>
      <c r="B405" s="3">
        <f t="shared" ca="1" si="21"/>
        <v>0.8347561441701723</v>
      </c>
      <c r="C405" s="3">
        <f t="shared" ca="1" si="19"/>
        <v>32.91939593984452</v>
      </c>
      <c r="D405" s="2">
        <f t="shared" ca="1" si="20"/>
        <v>33</v>
      </c>
    </row>
    <row r="406" spans="1:4" ht="15" x14ac:dyDescent="0.2">
      <c r="A406" s="1">
        <v>404</v>
      </c>
      <c r="B406" s="3">
        <f t="shared" ca="1" si="21"/>
        <v>0.44334119604592503</v>
      </c>
      <c r="C406" s="3">
        <f t="shared" ca="1" si="19"/>
        <v>29.572489792872862</v>
      </c>
      <c r="D406" s="2">
        <f t="shared" ca="1" si="20"/>
        <v>30</v>
      </c>
    </row>
    <row r="407" spans="1:4" ht="15" x14ac:dyDescent="0.2">
      <c r="A407" s="1">
        <v>405</v>
      </c>
      <c r="B407" s="3">
        <f t="shared" ca="1" si="21"/>
        <v>0.73208570191842348</v>
      </c>
      <c r="C407" s="3">
        <f t="shared" ca="1" si="19"/>
        <v>31.857399679197375</v>
      </c>
      <c r="D407" s="2">
        <f t="shared" ca="1" si="20"/>
        <v>32</v>
      </c>
    </row>
    <row r="408" spans="1:4" ht="15" x14ac:dyDescent="0.2">
      <c r="A408" s="1">
        <v>406</v>
      </c>
      <c r="B408" s="3">
        <f t="shared" ca="1" si="21"/>
        <v>2.2404239480558918E-2</v>
      </c>
      <c r="C408" s="3">
        <f t="shared" ca="1" si="19"/>
        <v>23.980656210927801</v>
      </c>
      <c r="D408" s="2">
        <f t="shared" ca="1" si="20"/>
        <v>24</v>
      </c>
    </row>
    <row r="409" spans="1:4" ht="15" x14ac:dyDescent="0.2">
      <c r="A409" s="1">
        <v>407</v>
      </c>
      <c r="B409" s="3">
        <f t="shared" ca="1" si="21"/>
        <v>0.80928355003605745</v>
      </c>
      <c r="C409" s="3">
        <f t="shared" ca="1" si="19"/>
        <v>32.625777536356097</v>
      </c>
      <c r="D409" s="2">
        <f t="shared" ca="1" si="20"/>
        <v>33</v>
      </c>
    </row>
    <row r="410" spans="1:4" ht="15" x14ac:dyDescent="0.2">
      <c r="A410" s="1">
        <v>408</v>
      </c>
      <c r="B410" s="3">
        <f t="shared" ca="1" si="21"/>
        <v>0.26392701104324967</v>
      </c>
      <c r="C410" s="3">
        <f t="shared" ca="1" si="19"/>
        <v>28.106144216011238</v>
      </c>
      <c r="D410" s="2">
        <f t="shared" ca="1" si="20"/>
        <v>28</v>
      </c>
    </row>
    <row r="411" spans="1:4" ht="15" x14ac:dyDescent="0.2">
      <c r="A411" s="1">
        <v>409</v>
      </c>
      <c r="B411" s="3">
        <f t="shared" ca="1" si="21"/>
        <v>0.66602380329429123</v>
      </c>
      <c r="C411" s="3">
        <f t="shared" ca="1" si="19"/>
        <v>31.286879757263129</v>
      </c>
      <c r="D411" s="2">
        <f t="shared" ca="1" si="20"/>
        <v>31</v>
      </c>
    </row>
    <row r="412" spans="1:4" ht="15" x14ac:dyDescent="0.2">
      <c r="A412" s="1">
        <v>410</v>
      </c>
      <c r="B412" s="3">
        <f t="shared" ca="1" si="21"/>
        <v>0.56693188355760371</v>
      </c>
      <c r="C412" s="3">
        <f t="shared" ca="1" si="19"/>
        <v>30.505704837985203</v>
      </c>
      <c r="D412" s="2">
        <f t="shared" ca="1" si="20"/>
        <v>31</v>
      </c>
    </row>
    <row r="413" spans="1:4" ht="15" x14ac:dyDescent="0.2">
      <c r="A413" s="1">
        <v>411</v>
      </c>
      <c r="B413" s="3">
        <f t="shared" ca="1" si="21"/>
        <v>0.20374169333049574</v>
      </c>
      <c r="C413" s="3">
        <f t="shared" ca="1" si="19"/>
        <v>27.515008671045017</v>
      </c>
      <c r="D413" s="2">
        <f t="shared" ca="1" si="20"/>
        <v>28</v>
      </c>
    </row>
    <row r="414" spans="1:4" ht="15" x14ac:dyDescent="0.2">
      <c r="A414" s="1">
        <v>412</v>
      </c>
      <c r="B414" s="3">
        <f t="shared" ca="1" si="21"/>
        <v>0.56915818163450838</v>
      </c>
      <c r="C414" s="3">
        <f t="shared" ca="1" si="19"/>
        <v>30.522694095259531</v>
      </c>
      <c r="D414" s="2">
        <f t="shared" ca="1" si="20"/>
        <v>31</v>
      </c>
    </row>
    <row r="415" spans="1:4" ht="15" x14ac:dyDescent="0.2">
      <c r="A415" s="1">
        <v>413</v>
      </c>
      <c r="B415" s="3">
        <f t="shared" ca="1" si="21"/>
        <v>0.19602269574812614</v>
      </c>
      <c r="C415" s="3">
        <f t="shared" ca="1" si="19"/>
        <v>27.432258222263751</v>
      </c>
      <c r="D415" s="2">
        <f t="shared" ca="1" si="20"/>
        <v>27</v>
      </c>
    </row>
    <row r="416" spans="1:4" ht="15" x14ac:dyDescent="0.2">
      <c r="A416" s="1">
        <v>414</v>
      </c>
      <c r="B416" s="3">
        <f t="shared" ca="1" si="21"/>
        <v>0.74839947471459767</v>
      </c>
      <c r="C416" s="3">
        <f t="shared" ca="1" si="19"/>
        <v>32.008384883103837</v>
      </c>
      <c r="D416" s="2">
        <f t="shared" ca="1" si="20"/>
        <v>32</v>
      </c>
    </row>
    <row r="417" spans="1:4" ht="15" x14ac:dyDescent="0.2">
      <c r="A417" s="1">
        <v>415</v>
      </c>
      <c r="B417" s="3">
        <f t="shared" ca="1" si="21"/>
        <v>0.20164404906851507</v>
      </c>
      <c r="C417" s="3">
        <f t="shared" ca="1" si="19"/>
        <v>27.492710214842386</v>
      </c>
      <c r="D417" s="2">
        <f t="shared" ca="1" si="20"/>
        <v>27</v>
      </c>
    </row>
    <row r="418" spans="1:4" ht="15" x14ac:dyDescent="0.2">
      <c r="A418" s="1">
        <v>416</v>
      </c>
      <c r="B418" s="3">
        <f t="shared" ca="1" si="21"/>
        <v>0.73705537729977866</v>
      </c>
      <c r="C418" s="3">
        <f t="shared" ca="1" si="19"/>
        <v>31.902880740504436</v>
      </c>
      <c r="D418" s="2">
        <f t="shared" ca="1" si="20"/>
        <v>32</v>
      </c>
    </row>
    <row r="419" spans="1:4" ht="15" x14ac:dyDescent="0.2">
      <c r="A419" s="1">
        <v>417</v>
      </c>
      <c r="B419" s="3">
        <f t="shared" ca="1" si="21"/>
        <v>0.80490821995594963</v>
      </c>
      <c r="C419" s="3">
        <f t="shared" ca="1" si="19"/>
        <v>32.577853573232829</v>
      </c>
      <c r="D419" s="2">
        <f t="shared" ca="1" si="20"/>
        <v>33</v>
      </c>
    </row>
    <row r="420" spans="1:4" ht="15" x14ac:dyDescent="0.2">
      <c r="A420" s="1">
        <v>418</v>
      </c>
      <c r="B420" s="3">
        <f t="shared" ca="1" si="21"/>
        <v>0.18559147023039613</v>
      </c>
      <c r="C420" s="3">
        <f t="shared" ca="1" si="19"/>
        <v>27.317220808439448</v>
      </c>
      <c r="D420" s="2">
        <f t="shared" ca="1" si="20"/>
        <v>27</v>
      </c>
    </row>
    <row r="421" spans="1:4" ht="15" x14ac:dyDescent="0.2">
      <c r="A421" s="1">
        <v>419</v>
      </c>
      <c r="B421" s="3">
        <f t="shared" ca="1" si="21"/>
        <v>0.1066010022524787</v>
      </c>
      <c r="C421" s="3">
        <f t="shared" ca="1" si="19"/>
        <v>26.26557330523411</v>
      </c>
      <c r="D421" s="2">
        <f t="shared" ca="1" si="20"/>
        <v>26</v>
      </c>
    </row>
    <row r="422" spans="1:4" ht="15" x14ac:dyDescent="0.2">
      <c r="A422" s="1">
        <v>420</v>
      </c>
      <c r="B422" s="3">
        <f t="shared" ca="1" si="21"/>
        <v>0.3445741709454061</v>
      </c>
      <c r="C422" s="3">
        <f t="shared" ca="1" si="19"/>
        <v>28.799966702812181</v>
      </c>
      <c r="D422" s="2">
        <f t="shared" ca="1" si="20"/>
        <v>29</v>
      </c>
    </row>
    <row r="423" spans="1:4" ht="15" x14ac:dyDescent="0.2">
      <c r="A423" s="1">
        <v>421</v>
      </c>
      <c r="B423" s="3">
        <f t="shared" ca="1" si="21"/>
        <v>0.99834604598258414</v>
      </c>
      <c r="C423" s="3">
        <f t="shared" ca="1" si="19"/>
        <v>38.812723161666653</v>
      </c>
      <c r="D423" s="2">
        <f t="shared" ca="1" si="20"/>
        <v>39</v>
      </c>
    </row>
    <row r="424" spans="1:4" ht="15" x14ac:dyDescent="0.2">
      <c r="A424" s="1">
        <v>422</v>
      </c>
      <c r="B424" s="3">
        <f t="shared" ca="1" si="21"/>
        <v>0.45753409958760982</v>
      </c>
      <c r="C424" s="3">
        <f t="shared" ca="1" si="19"/>
        <v>29.680055856172785</v>
      </c>
      <c r="D424" s="2">
        <f t="shared" ca="1" si="20"/>
        <v>30</v>
      </c>
    </row>
    <row r="425" spans="1:4" ht="15" x14ac:dyDescent="0.2">
      <c r="A425" s="1">
        <v>423</v>
      </c>
      <c r="B425" s="3">
        <f t="shared" ca="1" si="21"/>
        <v>0.83918249792341604</v>
      </c>
      <c r="C425" s="3">
        <f t="shared" ca="1" si="19"/>
        <v>32.973310745699436</v>
      </c>
      <c r="D425" s="2">
        <f t="shared" ca="1" si="20"/>
        <v>33</v>
      </c>
    </row>
    <row r="426" spans="1:4" ht="15" x14ac:dyDescent="0.2">
      <c r="A426" s="1">
        <v>424</v>
      </c>
      <c r="B426" s="3">
        <f t="shared" ca="1" si="21"/>
        <v>0.67942139731049744</v>
      </c>
      <c r="C426" s="3">
        <f t="shared" ca="1" si="19"/>
        <v>31.398244330043298</v>
      </c>
      <c r="D426" s="2">
        <f t="shared" ca="1" si="20"/>
        <v>31</v>
      </c>
    </row>
    <row r="427" spans="1:4" ht="15" x14ac:dyDescent="0.2">
      <c r="A427" s="1">
        <v>425</v>
      </c>
      <c r="B427" s="3">
        <f t="shared" ca="1" si="21"/>
        <v>0.52032765412800919</v>
      </c>
      <c r="C427" s="3">
        <f t="shared" ca="1" si="19"/>
        <v>30.152927823653567</v>
      </c>
      <c r="D427" s="2">
        <f t="shared" ca="1" si="20"/>
        <v>30</v>
      </c>
    </row>
    <row r="428" spans="1:4" ht="15" x14ac:dyDescent="0.2">
      <c r="A428" s="1">
        <v>426</v>
      </c>
      <c r="B428" s="3">
        <f t="shared" ca="1" si="21"/>
        <v>0.15560675009113634</v>
      </c>
      <c r="C428" s="3">
        <f t="shared" ca="1" si="19"/>
        <v>26.961962927754598</v>
      </c>
      <c r="D428" s="2">
        <f t="shared" ca="1" si="20"/>
        <v>27</v>
      </c>
    </row>
    <row r="429" spans="1:4" ht="15" x14ac:dyDescent="0.2">
      <c r="A429" s="1">
        <v>427</v>
      </c>
      <c r="B429" s="3">
        <f t="shared" ca="1" si="21"/>
        <v>0.26124028835661128</v>
      </c>
      <c r="C429" s="3">
        <f t="shared" ca="1" si="19"/>
        <v>28.081420946212521</v>
      </c>
      <c r="D429" s="2">
        <f t="shared" ca="1" si="20"/>
        <v>28</v>
      </c>
    </row>
    <row r="430" spans="1:4" ht="15" x14ac:dyDescent="0.2">
      <c r="A430" s="1">
        <v>428</v>
      </c>
      <c r="B430" s="3">
        <f t="shared" ca="1" si="21"/>
        <v>0.27096383803465429</v>
      </c>
      <c r="C430" s="3">
        <f t="shared" ca="1" si="19"/>
        <v>28.170298295228708</v>
      </c>
      <c r="D430" s="2">
        <f t="shared" ca="1" si="20"/>
        <v>28</v>
      </c>
    </row>
    <row r="431" spans="1:4" ht="15" x14ac:dyDescent="0.2">
      <c r="A431" s="1">
        <v>429</v>
      </c>
      <c r="B431" s="3">
        <f t="shared" ca="1" si="21"/>
        <v>0.544163100854413</v>
      </c>
      <c r="C431" s="3">
        <f t="shared" ca="1" si="19"/>
        <v>30.332782651457659</v>
      </c>
      <c r="D431" s="2">
        <f t="shared" ca="1" si="20"/>
        <v>30</v>
      </c>
    </row>
    <row r="432" spans="1:4" ht="15" x14ac:dyDescent="0.2">
      <c r="A432" s="1">
        <v>430</v>
      </c>
      <c r="B432" s="3">
        <f t="shared" ca="1" si="21"/>
        <v>0.49345443463218697</v>
      </c>
      <c r="C432" s="3">
        <f t="shared" ca="1" si="19"/>
        <v>29.950775893700573</v>
      </c>
      <c r="D432" s="2">
        <f t="shared" ca="1" si="20"/>
        <v>30</v>
      </c>
    </row>
    <row r="433" spans="1:4" ht="15" x14ac:dyDescent="0.2">
      <c r="A433" s="1">
        <v>431</v>
      </c>
      <c r="B433" s="3">
        <f t="shared" ca="1" si="21"/>
        <v>0.37301488101936986</v>
      </c>
      <c r="C433" s="3">
        <f t="shared" ca="1" si="19"/>
        <v>29.028363470303482</v>
      </c>
      <c r="D433" s="2">
        <f t="shared" ca="1" si="20"/>
        <v>29</v>
      </c>
    </row>
    <row r="434" spans="1:4" ht="15" x14ac:dyDescent="0.2">
      <c r="A434" s="1">
        <v>432</v>
      </c>
      <c r="B434" s="3">
        <f t="shared" ca="1" si="21"/>
        <v>0.71693903910927992</v>
      </c>
      <c r="C434" s="3">
        <f t="shared" ca="1" si="19"/>
        <v>31.721316783972522</v>
      </c>
      <c r="D434" s="2">
        <f t="shared" ca="1" si="20"/>
        <v>32</v>
      </c>
    </row>
    <row r="435" spans="1:4" ht="15" x14ac:dyDescent="0.2">
      <c r="A435" s="1">
        <v>433</v>
      </c>
      <c r="B435" s="3">
        <f t="shared" ca="1" si="21"/>
        <v>0.76375379074331695</v>
      </c>
      <c r="C435" s="3">
        <f t="shared" ca="1" si="19"/>
        <v>32.155288910592581</v>
      </c>
      <c r="D435" s="2">
        <f t="shared" ca="1" si="20"/>
        <v>32</v>
      </c>
    </row>
    <row r="436" spans="1:4" ht="15" x14ac:dyDescent="0.2">
      <c r="A436" s="1">
        <v>434</v>
      </c>
      <c r="B436" s="3">
        <f t="shared" ca="1" si="21"/>
        <v>0.36635329220235069</v>
      </c>
      <c r="C436" s="3">
        <f t="shared" ca="1" si="19"/>
        <v>28.975417812486725</v>
      </c>
      <c r="D436" s="2">
        <f t="shared" ca="1" si="20"/>
        <v>29</v>
      </c>
    </row>
    <row r="437" spans="1:4" ht="15" x14ac:dyDescent="0.2">
      <c r="A437" s="1">
        <v>435</v>
      </c>
      <c r="B437" s="3">
        <f t="shared" ca="1" si="21"/>
        <v>0.94300485142068036</v>
      </c>
      <c r="C437" s="3">
        <f t="shared" ref="C437:C500" ca="1" si="22">_xlfn.NORM.INV(B437,$I$3,$J$3)</f>
        <v>34.741527659388879</v>
      </c>
      <c r="D437" s="2">
        <f t="shared" ref="D437:D500" ca="1" si="23">ROUND(_xlfn.NORM.INV(B437,$I$3,$J$3),0)</f>
        <v>35</v>
      </c>
    </row>
    <row r="438" spans="1:4" ht="15" x14ac:dyDescent="0.2">
      <c r="A438" s="1">
        <v>436</v>
      </c>
      <c r="B438" s="3">
        <f t="shared" ca="1" si="21"/>
        <v>0.79614281540362497</v>
      </c>
      <c r="C438" s="3">
        <f t="shared" ca="1" si="22"/>
        <v>32.483767618995387</v>
      </c>
      <c r="D438" s="2">
        <f t="shared" ca="1" si="23"/>
        <v>32</v>
      </c>
    </row>
    <row r="439" spans="1:4" ht="15" x14ac:dyDescent="0.2">
      <c r="A439" s="1">
        <v>437</v>
      </c>
      <c r="B439" s="3">
        <f t="shared" ca="1" si="21"/>
        <v>0.76933570973682697</v>
      </c>
      <c r="C439" s="3">
        <f t="shared" ca="1" si="22"/>
        <v>32.209982747256561</v>
      </c>
      <c r="D439" s="2">
        <f t="shared" ca="1" si="23"/>
        <v>32</v>
      </c>
    </row>
    <row r="440" spans="1:4" ht="15" x14ac:dyDescent="0.2">
      <c r="A440" s="1">
        <v>438</v>
      </c>
      <c r="B440" s="3">
        <f t="shared" ca="1" si="21"/>
        <v>0.36896363346374517</v>
      </c>
      <c r="C440" s="3">
        <f t="shared" ca="1" si="22"/>
        <v>28.996201678116435</v>
      </c>
      <c r="D440" s="2">
        <f t="shared" ca="1" si="23"/>
        <v>29</v>
      </c>
    </row>
    <row r="441" spans="1:4" ht="15" x14ac:dyDescent="0.2">
      <c r="A441" s="1">
        <v>439</v>
      </c>
      <c r="B441" s="3">
        <f t="shared" ca="1" si="21"/>
        <v>0.10034729029630063</v>
      </c>
      <c r="C441" s="3">
        <f t="shared" ca="1" si="22"/>
        <v>26.161274434838525</v>
      </c>
      <c r="D441" s="2">
        <f t="shared" ca="1" si="23"/>
        <v>26</v>
      </c>
    </row>
    <row r="442" spans="1:4" ht="15" x14ac:dyDescent="0.2">
      <c r="A442" s="1">
        <v>440</v>
      </c>
      <c r="B442" s="3">
        <f t="shared" ca="1" si="21"/>
        <v>0.89243273983621985</v>
      </c>
      <c r="C442" s="3">
        <f t="shared" ca="1" si="22"/>
        <v>33.718709694282772</v>
      </c>
      <c r="D442" s="2">
        <f t="shared" ca="1" si="23"/>
        <v>34</v>
      </c>
    </row>
    <row r="443" spans="1:4" ht="15" x14ac:dyDescent="0.2">
      <c r="A443" s="1">
        <v>441</v>
      </c>
      <c r="B443" s="3">
        <f t="shared" ca="1" si="21"/>
        <v>0.44486463330525383</v>
      </c>
      <c r="C443" s="3">
        <f t="shared" ca="1" si="22"/>
        <v>29.584059627465926</v>
      </c>
      <c r="D443" s="2">
        <f t="shared" ca="1" si="23"/>
        <v>30</v>
      </c>
    </row>
    <row r="444" spans="1:4" ht="15" x14ac:dyDescent="0.2">
      <c r="A444" s="1">
        <v>442</v>
      </c>
      <c r="B444" s="3">
        <f t="shared" ca="1" si="21"/>
        <v>0.70982840568093941</v>
      </c>
      <c r="C444" s="3">
        <f t="shared" ca="1" si="22"/>
        <v>31.658650490899582</v>
      </c>
      <c r="D444" s="2">
        <f t="shared" ca="1" si="23"/>
        <v>32</v>
      </c>
    </row>
    <row r="445" spans="1:4" ht="15" x14ac:dyDescent="0.2">
      <c r="A445" s="1">
        <v>443</v>
      </c>
      <c r="B445" s="3">
        <f t="shared" ca="1" si="21"/>
        <v>0.20764227084682596</v>
      </c>
      <c r="C445" s="3">
        <f t="shared" ca="1" si="22"/>
        <v>27.556112142125006</v>
      </c>
      <c r="D445" s="2">
        <f t="shared" ca="1" si="23"/>
        <v>28</v>
      </c>
    </row>
    <row r="446" spans="1:4" ht="15" x14ac:dyDescent="0.2">
      <c r="A446" s="1">
        <v>444</v>
      </c>
      <c r="B446" s="3">
        <f t="shared" ca="1" si="21"/>
        <v>0.78520955715046792</v>
      </c>
      <c r="C446" s="3">
        <f t="shared" ca="1" si="22"/>
        <v>32.369727150122586</v>
      </c>
      <c r="D446" s="2">
        <f t="shared" ca="1" si="23"/>
        <v>32</v>
      </c>
    </row>
    <row r="447" spans="1:4" ht="15" x14ac:dyDescent="0.2">
      <c r="A447" s="1">
        <v>445</v>
      </c>
      <c r="B447" s="3">
        <f t="shared" ca="1" si="21"/>
        <v>0.59728236130288936</v>
      </c>
      <c r="C447" s="3">
        <f t="shared" ca="1" si="22"/>
        <v>30.738957099606314</v>
      </c>
      <c r="D447" s="2">
        <f t="shared" ca="1" si="23"/>
        <v>31</v>
      </c>
    </row>
    <row r="448" spans="1:4" ht="15" x14ac:dyDescent="0.2">
      <c r="A448" s="1">
        <v>446</v>
      </c>
      <c r="B448" s="3">
        <f t="shared" ca="1" si="21"/>
        <v>0.15258323258690853</v>
      </c>
      <c r="C448" s="3">
        <f t="shared" ca="1" si="22"/>
        <v>26.923748968176927</v>
      </c>
      <c r="D448" s="2">
        <f t="shared" ca="1" si="23"/>
        <v>27</v>
      </c>
    </row>
    <row r="449" spans="1:4" ht="15" x14ac:dyDescent="0.2">
      <c r="A449" s="1">
        <v>447</v>
      </c>
      <c r="B449" s="3">
        <f t="shared" ca="1" si="21"/>
        <v>0.35301389093395907</v>
      </c>
      <c r="C449" s="3">
        <f t="shared" ca="1" si="22"/>
        <v>28.868411310425888</v>
      </c>
      <c r="D449" s="2">
        <f t="shared" ca="1" si="23"/>
        <v>29</v>
      </c>
    </row>
    <row r="450" spans="1:4" ht="15" x14ac:dyDescent="0.2">
      <c r="A450" s="1">
        <v>448</v>
      </c>
      <c r="B450" s="3">
        <f t="shared" ca="1" si="21"/>
        <v>0.66311289001100704</v>
      </c>
      <c r="C450" s="3">
        <f t="shared" ca="1" si="22"/>
        <v>31.262921374145591</v>
      </c>
      <c r="D450" s="2">
        <f t="shared" ca="1" si="23"/>
        <v>31</v>
      </c>
    </row>
    <row r="451" spans="1:4" ht="15" x14ac:dyDescent="0.2">
      <c r="A451" s="1">
        <v>449</v>
      </c>
      <c r="B451" s="3">
        <f t="shared" ca="1" si="21"/>
        <v>0.35569559055242295</v>
      </c>
      <c r="C451" s="3">
        <f t="shared" ca="1" si="22"/>
        <v>28.890034991516814</v>
      </c>
      <c r="D451" s="2">
        <f t="shared" ca="1" si="23"/>
        <v>29</v>
      </c>
    </row>
    <row r="452" spans="1:4" ht="15" x14ac:dyDescent="0.2">
      <c r="A452" s="1">
        <v>450</v>
      </c>
      <c r="B452" s="3">
        <f t="shared" ref="B452:B502" ca="1" si="24">RAND()</f>
        <v>0.94494615676108562</v>
      </c>
      <c r="C452" s="3">
        <f t="shared" ca="1" si="22"/>
        <v>34.79312792133419</v>
      </c>
      <c r="D452" s="2">
        <f t="shared" ca="1" si="23"/>
        <v>35</v>
      </c>
    </row>
    <row r="453" spans="1:4" ht="15" x14ac:dyDescent="0.2">
      <c r="A453" s="1">
        <v>451</v>
      </c>
      <c r="B453" s="3">
        <f t="shared" ca="1" si="24"/>
        <v>0.46464529440232871</v>
      </c>
      <c r="C453" s="3">
        <f t="shared" ca="1" si="22"/>
        <v>29.733787724286042</v>
      </c>
      <c r="D453" s="2">
        <f t="shared" ca="1" si="23"/>
        <v>30</v>
      </c>
    </row>
    <row r="454" spans="1:4" ht="15" x14ac:dyDescent="0.2">
      <c r="A454" s="1">
        <v>452</v>
      </c>
      <c r="B454" s="3">
        <f t="shared" ca="1" si="24"/>
        <v>0.77915476534191108</v>
      </c>
      <c r="C454" s="3">
        <f t="shared" ca="1" si="22"/>
        <v>32.308025195949405</v>
      </c>
      <c r="D454" s="2">
        <f t="shared" ca="1" si="23"/>
        <v>32</v>
      </c>
    </row>
    <row r="455" spans="1:4" ht="15" x14ac:dyDescent="0.2">
      <c r="A455" s="1">
        <v>453</v>
      </c>
      <c r="B455" s="3">
        <f t="shared" ca="1" si="24"/>
        <v>3.0532464052734243E-2</v>
      </c>
      <c r="C455" s="3">
        <f t="shared" ca="1" si="22"/>
        <v>24.380924897034348</v>
      </c>
      <c r="D455" s="2">
        <f t="shared" ca="1" si="23"/>
        <v>24</v>
      </c>
    </row>
    <row r="456" spans="1:4" ht="15" x14ac:dyDescent="0.2">
      <c r="A456" s="1">
        <v>454</v>
      </c>
      <c r="B456" s="3">
        <f t="shared" ca="1" si="24"/>
        <v>8.8163420751839472E-2</v>
      </c>
      <c r="C456" s="3">
        <f t="shared" ca="1" si="22"/>
        <v>25.9435453712683</v>
      </c>
      <c r="D456" s="2">
        <f t="shared" ca="1" si="23"/>
        <v>26</v>
      </c>
    </row>
    <row r="457" spans="1:4" ht="15" x14ac:dyDescent="0.2">
      <c r="A457" s="1">
        <v>455</v>
      </c>
      <c r="B457" s="3">
        <f t="shared" ca="1" si="24"/>
        <v>0.41885694780136462</v>
      </c>
      <c r="C457" s="3">
        <f t="shared" ca="1" si="22"/>
        <v>29.385544358288342</v>
      </c>
      <c r="D457" s="2">
        <f t="shared" ca="1" si="23"/>
        <v>29</v>
      </c>
    </row>
    <row r="458" spans="1:4" ht="15" x14ac:dyDescent="0.2">
      <c r="A458" s="1">
        <v>456</v>
      </c>
      <c r="B458" s="3">
        <f t="shared" ca="1" si="24"/>
        <v>0.14935339214902787</v>
      </c>
      <c r="C458" s="3">
        <f t="shared" ca="1" si="22"/>
        <v>26.882368087576175</v>
      </c>
      <c r="D458" s="2">
        <f t="shared" ca="1" si="23"/>
        <v>27</v>
      </c>
    </row>
    <row r="459" spans="1:4" ht="15" x14ac:dyDescent="0.2">
      <c r="A459" s="1">
        <v>457</v>
      </c>
      <c r="B459" s="3">
        <f t="shared" ca="1" si="24"/>
        <v>0.36773809427766724</v>
      </c>
      <c r="C459" s="3">
        <f t="shared" ca="1" si="22"/>
        <v>28.98644984136925</v>
      </c>
      <c r="D459" s="2">
        <f t="shared" ca="1" si="23"/>
        <v>29</v>
      </c>
    </row>
    <row r="460" spans="1:4" ht="15" x14ac:dyDescent="0.2">
      <c r="A460" s="1">
        <v>458</v>
      </c>
      <c r="B460" s="3">
        <f t="shared" ca="1" si="24"/>
        <v>0.3652103612871096</v>
      </c>
      <c r="C460" s="3">
        <f t="shared" ca="1" si="22"/>
        <v>28.966302209044017</v>
      </c>
      <c r="D460" s="2">
        <f t="shared" ca="1" si="23"/>
        <v>29</v>
      </c>
    </row>
    <row r="461" spans="1:4" ht="15" x14ac:dyDescent="0.2">
      <c r="A461" s="1">
        <v>459</v>
      </c>
      <c r="B461" s="3">
        <f t="shared" ca="1" si="24"/>
        <v>0.79900770989631009</v>
      </c>
      <c r="C461" s="3">
        <f t="shared" ca="1" si="22"/>
        <v>32.514246380751459</v>
      </c>
      <c r="D461" s="2">
        <f t="shared" ca="1" si="23"/>
        <v>33</v>
      </c>
    </row>
    <row r="462" spans="1:4" ht="15" x14ac:dyDescent="0.2">
      <c r="A462" s="1">
        <v>460</v>
      </c>
      <c r="B462" s="3">
        <f t="shared" ca="1" si="24"/>
        <v>0.26630058978164017</v>
      </c>
      <c r="C462" s="3">
        <f t="shared" ca="1" si="22"/>
        <v>28.127879376189039</v>
      </c>
      <c r="D462" s="2">
        <f t="shared" ca="1" si="23"/>
        <v>28</v>
      </c>
    </row>
    <row r="463" spans="1:4" ht="15" x14ac:dyDescent="0.2">
      <c r="A463" s="1">
        <v>461</v>
      </c>
      <c r="B463" s="3">
        <f t="shared" ca="1" si="24"/>
        <v>3.8041848903855424E-2</v>
      </c>
      <c r="C463" s="3">
        <f t="shared" ca="1" si="22"/>
        <v>24.67837262427269</v>
      </c>
      <c r="D463" s="2">
        <f t="shared" ca="1" si="23"/>
        <v>25</v>
      </c>
    </row>
    <row r="464" spans="1:4" ht="15" x14ac:dyDescent="0.2">
      <c r="A464" s="1">
        <v>462</v>
      </c>
      <c r="B464" s="3">
        <f t="shared" ca="1" si="24"/>
        <v>0.15858992834818864</v>
      </c>
      <c r="C464" s="3">
        <f t="shared" ca="1" si="22"/>
        <v>26.999189971383679</v>
      </c>
      <c r="D464" s="2">
        <f t="shared" ca="1" si="23"/>
        <v>27</v>
      </c>
    </row>
    <row r="465" spans="1:4" ht="15" x14ac:dyDescent="0.2">
      <c r="A465" s="1">
        <v>463</v>
      </c>
      <c r="B465" s="3">
        <f t="shared" ca="1" si="24"/>
        <v>0.78968203181663887</v>
      </c>
      <c r="C465" s="3">
        <f t="shared" ca="1" si="22"/>
        <v>32.415955356589194</v>
      </c>
      <c r="D465" s="2">
        <f t="shared" ca="1" si="23"/>
        <v>32</v>
      </c>
    </row>
    <row r="466" spans="1:4" ht="15" x14ac:dyDescent="0.2">
      <c r="A466" s="1">
        <v>464</v>
      </c>
      <c r="B466" s="3">
        <f t="shared" ca="1" si="24"/>
        <v>0.7431786898148941</v>
      </c>
      <c r="C466" s="3">
        <f t="shared" ca="1" si="22"/>
        <v>31.959528932562424</v>
      </c>
      <c r="D466" s="2">
        <f t="shared" ca="1" si="23"/>
        <v>32</v>
      </c>
    </row>
    <row r="467" spans="1:4" ht="15" x14ac:dyDescent="0.2">
      <c r="A467" s="1">
        <v>465</v>
      </c>
      <c r="B467" s="3">
        <f t="shared" ca="1" si="24"/>
        <v>0.63075633129715558</v>
      </c>
      <c r="C467" s="3">
        <f t="shared" ca="1" si="22"/>
        <v>31.001571522516272</v>
      </c>
      <c r="D467" s="2">
        <f t="shared" ca="1" si="23"/>
        <v>31</v>
      </c>
    </row>
    <row r="468" spans="1:4" ht="15" x14ac:dyDescent="0.2">
      <c r="A468" s="1">
        <v>466</v>
      </c>
      <c r="B468" s="3">
        <f t="shared" ca="1" si="24"/>
        <v>0.20798326137170187</v>
      </c>
      <c r="C468" s="3">
        <f t="shared" ca="1" si="22"/>
        <v>27.559683607440068</v>
      </c>
      <c r="D468" s="2">
        <f t="shared" ca="1" si="23"/>
        <v>28</v>
      </c>
    </row>
    <row r="469" spans="1:4" ht="15" x14ac:dyDescent="0.2">
      <c r="A469" s="1">
        <v>467</v>
      </c>
      <c r="B469" s="3">
        <f t="shared" ca="1" si="24"/>
        <v>0.7247473285162882</v>
      </c>
      <c r="C469" s="3">
        <f t="shared" ca="1" si="22"/>
        <v>31.791009155926048</v>
      </c>
      <c r="D469" s="2">
        <f t="shared" ca="1" si="23"/>
        <v>32</v>
      </c>
    </row>
    <row r="470" spans="1:4" ht="15" x14ac:dyDescent="0.2">
      <c r="A470" s="1">
        <v>468</v>
      </c>
      <c r="B470" s="3">
        <f t="shared" ca="1" si="24"/>
        <v>0.73004779676196563</v>
      </c>
      <c r="C470" s="3">
        <f t="shared" ca="1" si="22"/>
        <v>31.838872659972242</v>
      </c>
      <c r="D470" s="2">
        <f t="shared" ca="1" si="23"/>
        <v>32</v>
      </c>
    </row>
    <row r="471" spans="1:4" ht="15" x14ac:dyDescent="0.2">
      <c r="A471" s="1">
        <v>469</v>
      </c>
      <c r="B471" s="3">
        <f t="shared" ca="1" si="24"/>
        <v>3.0120856921748596E-2</v>
      </c>
      <c r="C471" s="3">
        <f t="shared" ca="1" si="22"/>
        <v>24.362938933060185</v>
      </c>
      <c r="D471" s="2">
        <f t="shared" ca="1" si="23"/>
        <v>24</v>
      </c>
    </row>
    <row r="472" spans="1:4" ht="15" x14ac:dyDescent="0.2">
      <c r="A472" s="1">
        <v>470</v>
      </c>
      <c r="B472" s="3">
        <f t="shared" ca="1" si="24"/>
        <v>0.68747824692264015</v>
      </c>
      <c r="C472" s="3">
        <f t="shared" ca="1" si="22"/>
        <v>31.466144900652388</v>
      </c>
      <c r="D472" s="2">
        <f t="shared" ca="1" si="23"/>
        <v>31</v>
      </c>
    </row>
    <row r="473" spans="1:4" ht="15" x14ac:dyDescent="0.2">
      <c r="A473" s="1">
        <v>471</v>
      </c>
      <c r="B473" s="3">
        <f t="shared" ca="1" si="24"/>
        <v>0.50595529488470492</v>
      </c>
      <c r="C473" s="3">
        <f t="shared" ca="1" si="22"/>
        <v>30.044784794974731</v>
      </c>
      <c r="D473" s="2">
        <f t="shared" ca="1" si="23"/>
        <v>30</v>
      </c>
    </row>
    <row r="474" spans="1:4" ht="15" x14ac:dyDescent="0.2">
      <c r="A474" s="1">
        <v>472</v>
      </c>
      <c r="B474" s="3">
        <f t="shared" ca="1" si="24"/>
        <v>0.91111059046699139</v>
      </c>
      <c r="C474" s="3">
        <f t="shared" ca="1" si="22"/>
        <v>34.042876925097367</v>
      </c>
      <c r="D474" s="2">
        <f t="shared" ca="1" si="23"/>
        <v>34</v>
      </c>
    </row>
    <row r="475" spans="1:4" ht="15" x14ac:dyDescent="0.2">
      <c r="A475" s="1">
        <v>473</v>
      </c>
      <c r="B475" s="3">
        <f t="shared" ca="1" si="24"/>
        <v>0.87272226860510116</v>
      </c>
      <c r="C475" s="3">
        <f t="shared" ca="1" si="22"/>
        <v>33.418062511653083</v>
      </c>
      <c r="D475" s="2">
        <f t="shared" ca="1" si="23"/>
        <v>33</v>
      </c>
    </row>
    <row r="476" spans="1:4" ht="15" x14ac:dyDescent="0.2">
      <c r="A476" s="1">
        <v>474</v>
      </c>
      <c r="B476" s="3">
        <f t="shared" ca="1" si="24"/>
        <v>0.72816674748980048</v>
      </c>
      <c r="C476" s="3">
        <f t="shared" ca="1" si="22"/>
        <v>31.821833687320584</v>
      </c>
      <c r="D476" s="2">
        <f t="shared" ca="1" si="23"/>
        <v>32</v>
      </c>
    </row>
    <row r="477" spans="1:4" ht="15" x14ac:dyDescent="0.2">
      <c r="A477" s="1">
        <v>475</v>
      </c>
      <c r="B477" s="3">
        <f t="shared" ca="1" si="24"/>
        <v>0.92059346994879387</v>
      </c>
      <c r="C477" s="3">
        <f t="shared" ca="1" si="22"/>
        <v>34.227224311962317</v>
      </c>
      <c r="D477" s="2">
        <f t="shared" ca="1" si="23"/>
        <v>34</v>
      </c>
    </row>
    <row r="478" spans="1:4" ht="15" x14ac:dyDescent="0.2">
      <c r="A478" s="1">
        <v>476</v>
      </c>
      <c r="B478" s="3">
        <f t="shared" ca="1" si="24"/>
        <v>0.50153045437388755</v>
      </c>
      <c r="C478" s="3">
        <f t="shared" ca="1" si="22"/>
        <v>30.011508868849358</v>
      </c>
      <c r="D478" s="2">
        <f t="shared" ca="1" si="23"/>
        <v>30</v>
      </c>
    </row>
    <row r="479" spans="1:4" ht="15" x14ac:dyDescent="0.2">
      <c r="A479" s="1">
        <v>477</v>
      </c>
      <c r="B479" s="3">
        <f t="shared" ca="1" si="24"/>
        <v>0.67627146671075622</v>
      </c>
      <c r="C479" s="3">
        <f t="shared" ca="1" si="22"/>
        <v>31.371893167123478</v>
      </c>
      <c r="D479" s="2">
        <f t="shared" ca="1" si="23"/>
        <v>31</v>
      </c>
    </row>
    <row r="480" spans="1:4" ht="15" x14ac:dyDescent="0.2">
      <c r="A480" s="1">
        <v>478</v>
      </c>
      <c r="B480" s="3">
        <f t="shared" ca="1" si="24"/>
        <v>0.36482361047882994</v>
      </c>
      <c r="C480" s="3">
        <f t="shared" ca="1" si="22"/>
        <v>28.963215466327014</v>
      </c>
      <c r="D480" s="2">
        <f t="shared" ca="1" si="23"/>
        <v>29</v>
      </c>
    </row>
    <row r="481" spans="1:4" ht="15" x14ac:dyDescent="0.2">
      <c r="A481" s="1">
        <v>479</v>
      </c>
      <c r="B481" s="3">
        <f t="shared" ca="1" si="24"/>
        <v>0.69694837635868701</v>
      </c>
      <c r="C481" s="3">
        <f t="shared" ca="1" si="22"/>
        <v>31.546931253134865</v>
      </c>
      <c r="D481" s="2">
        <f t="shared" ca="1" si="23"/>
        <v>32</v>
      </c>
    </row>
    <row r="482" spans="1:4" ht="15" x14ac:dyDescent="0.2">
      <c r="A482" s="1">
        <v>480</v>
      </c>
      <c r="B482" s="3">
        <f t="shared" ca="1" si="24"/>
        <v>0.50244164597007357</v>
      </c>
      <c r="C482" s="3">
        <f t="shared" ca="1" si="22"/>
        <v>30.018361011104432</v>
      </c>
      <c r="D482" s="2">
        <f t="shared" ca="1" si="23"/>
        <v>30</v>
      </c>
    </row>
    <row r="483" spans="1:4" ht="15" x14ac:dyDescent="0.2">
      <c r="A483" s="1">
        <v>481</v>
      </c>
      <c r="B483" s="3">
        <f t="shared" ca="1" si="24"/>
        <v>2.9195829485849756E-2</v>
      </c>
      <c r="C483" s="3">
        <f t="shared" ca="1" si="22"/>
        <v>24.321762069653122</v>
      </c>
      <c r="D483" s="2">
        <f t="shared" ca="1" si="23"/>
        <v>24</v>
      </c>
    </row>
    <row r="484" spans="1:4" ht="15" x14ac:dyDescent="0.2">
      <c r="A484" s="1">
        <v>482</v>
      </c>
      <c r="B484" s="3">
        <f t="shared" ca="1" si="24"/>
        <v>0.55966833220420398</v>
      </c>
      <c r="C484" s="3">
        <f t="shared" ca="1" si="22"/>
        <v>30.450385117680636</v>
      </c>
      <c r="D484" s="2">
        <f t="shared" ca="1" si="23"/>
        <v>30</v>
      </c>
    </row>
    <row r="485" spans="1:4" ht="15" x14ac:dyDescent="0.2">
      <c r="A485" s="1">
        <v>483</v>
      </c>
      <c r="B485" s="3">
        <f t="shared" ca="1" si="24"/>
        <v>0.85407853722080151</v>
      </c>
      <c r="C485" s="3">
        <f t="shared" ca="1" si="22"/>
        <v>33.16226206078894</v>
      </c>
      <c r="D485" s="2">
        <f t="shared" ca="1" si="23"/>
        <v>33</v>
      </c>
    </row>
    <row r="486" spans="1:4" ht="15" x14ac:dyDescent="0.2">
      <c r="A486" s="1">
        <v>484</v>
      </c>
      <c r="B486" s="3">
        <f t="shared" ca="1" si="24"/>
        <v>3.3833309768622422E-2</v>
      </c>
      <c r="C486" s="3">
        <f t="shared" ca="1" si="22"/>
        <v>24.518338435151623</v>
      </c>
      <c r="D486" s="2">
        <f t="shared" ca="1" si="23"/>
        <v>25</v>
      </c>
    </row>
    <row r="487" spans="1:4" ht="15" x14ac:dyDescent="0.2">
      <c r="A487" s="1">
        <v>485</v>
      </c>
      <c r="B487" s="3">
        <f t="shared" ca="1" si="24"/>
        <v>0.75483807805161407</v>
      </c>
      <c r="C487" s="3">
        <f t="shared" ca="1" si="22"/>
        <v>32.069381515866091</v>
      </c>
      <c r="D487" s="2">
        <f t="shared" ca="1" si="23"/>
        <v>32</v>
      </c>
    </row>
    <row r="488" spans="1:4" ht="15" x14ac:dyDescent="0.2">
      <c r="A488" s="1">
        <v>486</v>
      </c>
      <c r="B488" s="3">
        <f t="shared" ca="1" si="24"/>
        <v>0.72789380945383642</v>
      </c>
      <c r="C488" s="3">
        <f t="shared" ca="1" si="22"/>
        <v>31.819366240540131</v>
      </c>
      <c r="D488" s="2">
        <f t="shared" ca="1" si="23"/>
        <v>32</v>
      </c>
    </row>
    <row r="489" spans="1:4" ht="15" x14ac:dyDescent="0.2">
      <c r="A489" s="1">
        <v>487</v>
      </c>
      <c r="B489" s="3">
        <f t="shared" ca="1" si="24"/>
        <v>6.9679684926553409E-2</v>
      </c>
      <c r="C489" s="3">
        <f t="shared" ca="1" si="22"/>
        <v>25.565457356560515</v>
      </c>
      <c r="D489" s="2">
        <f t="shared" ca="1" si="23"/>
        <v>26</v>
      </c>
    </row>
    <row r="490" spans="1:4" ht="15" x14ac:dyDescent="0.2">
      <c r="A490" s="1">
        <v>488</v>
      </c>
      <c r="B490" s="3">
        <f t="shared" ca="1" si="24"/>
        <v>0.97231433074782103</v>
      </c>
      <c r="C490" s="3">
        <f t="shared" ca="1" si="22"/>
        <v>35.74785287011624</v>
      </c>
      <c r="D490" s="2">
        <f t="shared" ca="1" si="23"/>
        <v>36</v>
      </c>
    </row>
    <row r="491" spans="1:4" ht="15" x14ac:dyDescent="0.2">
      <c r="A491" s="1">
        <v>489</v>
      </c>
      <c r="B491" s="3">
        <f t="shared" ca="1" si="24"/>
        <v>0.66237141257121024</v>
      </c>
      <c r="C491" s="3">
        <f t="shared" ca="1" si="22"/>
        <v>31.256831526135006</v>
      </c>
      <c r="D491" s="2">
        <f t="shared" ca="1" si="23"/>
        <v>31</v>
      </c>
    </row>
    <row r="492" spans="1:4" ht="15" x14ac:dyDescent="0.2">
      <c r="A492" s="1">
        <v>490</v>
      </c>
      <c r="B492" s="3">
        <f t="shared" ca="1" si="24"/>
        <v>0.89565621434461262</v>
      </c>
      <c r="C492" s="3">
        <f t="shared" ca="1" si="22"/>
        <v>33.771547395134704</v>
      </c>
      <c r="D492" s="2">
        <f t="shared" ca="1" si="23"/>
        <v>34</v>
      </c>
    </row>
    <row r="493" spans="1:4" ht="15" x14ac:dyDescent="0.2">
      <c r="A493" s="1">
        <v>491</v>
      </c>
      <c r="B493" s="3">
        <f t="shared" ca="1" si="24"/>
        <v>0.96233410479272785</v>
      </c>
      <c r="C493" s="3">
        <f t="shared" ca="1" si="22"/>
        <v>35.33531684902119</v>
      </c>
      <c r="D493" s="2">
        <f t="shared" ca="1" si="23"/>
        <v>35</v>
      </c>
    </row>
    <row r="494" spans="1:4" ht="15" x14ac:dyDescent="0.2">
      <c r="A494" s="1">
        <v>492</v>
      </c>
      <c r="B494" s="3">
        <f t="shared" ca="1" si="24"/>
        <v>0.492389718956591</v>
      </c>
      <c r="C494" s="3">
        <f t="shared" ca="1" si="22"/>
        <v>29.942768091735637</v>
      </c>
      <c r="D494" s="2">
        <f t="shared" ca="1" si="23"/>
        <v>30</v>
      </c>
    </row>
    <row r="495" spans="1:4" ht="15" x14ac:dyDescent="0.2">
      <c r="A495" s="1">
        <v>493</v>
      </c>
      <c r="B495" s="3">
        <f t="shared" ca="1" si="24"/>
        <v>0.64214304832570124</v>
      </c>
      <c r="C495" s="3">
        <f t="shared" ca="1" si="22"/>
        <v>31.092578961588679</v>
      </c>
      <c r="D495" s="2">
        <f t="shared" ca="1" si="23"/>
        <v>31</v>
      </c>
    </row>
    <row r="496" spans="1:4" ht="15" x14ac:dyDescent="0.2">
      <c r="A496" s="1">
        <v>494</v>
      </c>
      <c r="B496" s="3">
        <f t="shared" ca="1" si="24"/>
        <v>0.79397282846531503</v>
      </c>
      <c r="C496" s="3">
        <f t="shared" ca="1" si="22"/>
        <v>32.460851380477202</v>
      </c>
      <c r="D496" s="2">
        <f t="shared" ca="1" si="23"/>
        <v>32</v>
      </c>
    </row>
    <row r="497" spans="1:4" ht="15" x14ac:dyDescent="0.2">
      <c r="A497" s="1">
        <v>495</v>
      </c>
      <c r="B497" s="3">
        <f t="shared" ca="1" si="24"/>
        <v>0.41078949536154052</v>
      </c>
      <c r="C497" s="3">
        <f t="shared" ca="1" si="22"/>
        <v>29.323456284859848</v>
      </c>
      <c r="D497" s="2">
        <f t="shared" ca="1" si="23"/>
        <v>29</v>
      </c>
    </row>
    <row r="498" spans="1:4" ht="15" x14ac:dyDescent="0.2">
      <c r="A498" s="1">
        <v>496</v>
      </c>
      <c r="B498" s="3">
        <f t="shared" ca="1" si="24"/>
        <v>0.84430495305131892</v>
      </c>
      <c r="C498" s="3">
        <f t="shared" ca="1" si="22"/>
        <v>33.036928500604404</v>
      </c>
      <c r="D498" s="2">
        <f t="shared" ca="1" si="23"/>
        <v>33</v>
      </c>
    </row>
    <row r="499" spans="1:4" ht="15" x14ac:dyDescent="0.2">
      <c r="A499" s="1">
        <v>497</v>
      </c>
      <c r="B499" s="3">
        <f t="shared" ca="1" si="24"/>
        <v>0.65964883311238942</v>
      </c>
      <c r="C499" s="3">
        <f t="shared" ca="1" si="22"/>
        <v>31.234514762358582</v>
      </c>
      <c r="D499" s="2">
        <f t="shared" ca="1" si="23"/>
        <v>31</v>
      </c>
    </row>
    <row r="500" spans="1:4" ht="15" x14ac:dyDescent="0.2">
      <c r="A500" s="1">
        <v>498</v>
      </c>
      <c r="B500" s="3">
        <f t="shared" ca="1" si="24"/>
        <v>5.7096130608522144E-2</v>
      </c>
      <c r="C500" s="3">
        <f t="shared" ca="1" si="22"/>
        <v>25.261118332125015</v>
      </c>
      <c r="D500" s="2">
        <f t="shared" ca="1" si="23"/>
        <v>25</v>
      </c>
    </row>
    <row r="501" spans="1:4" ht="15" x14ac:dyDescent="0.2">
      <c r="A501" s="1">
        <v>499</v>
      </c>
      <c r="B501" s="3">
        <f t="shared" ca="1" si="24"/>
        <v>0.72109677214671686</v>
      </c>
      <c r="C501" s="3">
        <f t="shared" ref="C501:C502" ca="1" si="25">_xlfn.NORM.INV(B501,$I$3,$J$3)</f>
        <v>31.758308306658577</v>
      </c>
      <c r="D501" s="2">
        <f t="shared" ref="D501:D502" ca="1" si="26">ROUND(_xlfn.NORM.INV(B501,$I$3,$J$3),0)</f>
        <v>32</v>
      </c>
    </row>
    <row r="502" spans="1:4" ht="15" x14ac:dyDescent="0.2">
      <c r="A502" s="1">
        <v>500</v>
      </c>
      <c r="B502" s="3">
        <f t="shared" ca="1" si="24"/>
        <v>2.4158036546933381E-2</v>
      </c>
      <c r="C502" s="3">
        <f t="shared" ca="1" si="25"/>
        <v>24.076266406110634</v>
      </c>
      <c r="D502" s="2">
        <f t="shared" ca="1" si="26"/>
        <v>24</v>
      </c>
    </row>
  </sheetData>
  <mergeCells count="1">
    <mergeCell ref="I1:J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02"/>
  <sheetViews>
    <sheetView tabSelected="1" zoomScale="120" zoomScaleNormal="120" workbookViewId="0">
      <selection activeCell="E5" sqref="E5"/>
    </sheetView>
  </sheetViews>
  <sheetFormatPr defaultRowHeight="12.75" x14ac:dyDescent="0.2"/>
  <cols>
    <col min="1" max="1" width="15.140625" customWidth="1"/>
    <col min="2" max="3" width="11.140625" customWidth="1"/>
    <col min="4" max="4" width="14.7109375" customWidth="1"/>
    <col min="5" max="5" width="14.85546875" customWidth="1"/>
    <col min="6" max="6" width="14.42578125" customWidth="1"/>
    <col min="8" max="8" width="17.28515625" customWidth="1"/>
    <col min="9" max="9" width="21.7109375" customWidth="1"/>
    <col min="10" max="10" width="14.85546875" customWidth="1"/>
    <col min="11" max="11" width="17.140625" customWidth="1"/>
    <col min="12" max="12" width="15" customWidth="1"/>
  </cols>
  <sheetData>
    <row r="1" spans="1:12" ht="15.75" thickBot="1" x14ac:dyDescent="0.25">
      <c r="A1" s="2"/>
      <c r="B1" s="2"/>
      <c r="C1" s="2" t="s">
        <v>18</v>
      </c>
      <c r="D1" s="2" t="s">
        <v>18</v>
      </c>
      <c r="E1" s="16" t="s">
        <v>17</v>
      </c>
      <c r="F1" s="2"/>
      <c r="G1" s="23" t="s">
        <v>9</v>
      </c>
      <c r="H1" s="23"/>
      <c r="I1" s="17" t="s">
        <v>6</v>
      </c>
      <c r="J1" s="2"/>
      <c r="K1" s="20" t="s">
        <v>19</v>
      </c>
      <c r="L1" s="18" t="s">
        <v>4</v>
      </c>
    </row>
    <row r="2" spans="1:12" ht="15" x14ac:dyDescent="0.2">
      <c r="A2" s="2" t="s">
        <v>2</v>
      </c>
      <c r="B2" s="2" t="s">
        <v>16</v>
      </c>
      <c r="C2" s="2" t="s">
        <v>20</v>
      </c>
      <c r="D2" s="2" t="s">
        <v>3</v>
      </c>
      <c r="E2" s="6" t="s">
        <v>3</v>
      </c>
      <c r="F2" s="2" t="s">
        <v>4</v>
      </c>
      <c r="G2" s="12" t="s">
        <v>7</v>
      </c>
      <c r="H2" s="11" t="s">
        <v>8</v>
      </c>
      <c r="I2" s="6" t="s">
        <v>17</v>
      </c>
      <c r="J2" s="15">
        <v>150</v>
      </c>
      <c r="K2">
        <v>31</v>
      </c>
      <c r="L2" s="19">
        <f>AVERAGE(F3:F102)</f>
        <v>22074</v>
      </c>
    </row>
    <row r="3" spans="1:12" ht="15" x14ac:dyDescent="0.2">
      <c r="A3">
        <v>7.6481945313519595E-2</v>
      </c>
      <c r="B3">
        <f t="shared" ref="B3:B34" si="0">ROUND(_xlfn.NORM.INV(A3,$G$3,$H$3),0)</f>
        <v>26</v>
      </c>
      <c r="C3">
        <f>MIN(B3,$K$2)</f>
        <v>26</v>
      </c>
      <c r="D3" s="19">
        <f>C3*$J$3</f>
        <v>10400</v>
      </c>
      <c r="E3" s="19">
        <f>($J$4-$K$2)*$J$2</f>
        <v>10350</v>
      </c>
      <c r="F3" s="19">
        <f>D3+E3</f>
        <v>20750</v>
      </c>
      <c r="G3" s="9">
        <v>30</v>
      </c>
      <c r="H3" s="7">
        <v>3</v>
      </c>
      <c r="I3" s="6" t="s">
        <v>18</v>
      </c>
      <c r="J3" s="13">
        <v>400</v>
      </c>
    </row>
    <row r="4" spans="1:12" ht="15.75" thickBot="1" x14ac:dyDescent="0.25">
      <c r="A4">
        <v>0.76309086492623213</v>
      </c>
      <c r="B4">
        <f t="shared" si="0"/>
        <v>32</v>
      </c>
      <c r="C4">
        <f t="shared" ref="C4:C67" si="1">MIN(B4,$K$2)</f>
        <v>31</v>
      </c>
      <c r="D4" s="19">
        <f t="shared" ref="D4:D67" si="2">C4*$J$3</f>
        <v>12400</v>
      </c>
      <c r="E4" s="19">
        <f>($J$4-$K$2)*$J$2</f>
        <v>10350</v>
      </c>
      <c r="F4" s="19">
        <f t="shared" ref="F4:F67" si="3">D4+E4</f>
        <v>22750</v>
      </c>
      <c r="G4" s="9"/>
      <c r="H4" s="7"/>
      <c r="I4" s="6" t="s">
        <v>5</v>
      </c>
      <c r="J4" s="10">
        <v>100</v>
      </c>
    </row>
    <row r="5" spans="1:12" ht="15" x14ac:dyDescent="0.2">
      <c r="A5">
        <v>0.74858238898036156</v>
      </c>
      <c r="B5">
        <f t="shared" si="0"/>
        <v>32</v>
      </c>
      <c r="C5">
        <f t="shared" si="1"/>
        <v>31</v>
      </c>
      <c r="D5" s="19">
        <f t="shared" si="2"/>
        <v>12400</v>
      </c>
      <c r="E5" s="19">
        <f t="shared" ref="E4:E67" si="4">($J$4-$K$2)*$J$2</f>
        <v>10350</v>
      </c>
      <c r="F5" s="19">
        <f t="shared" si="3"/>
        <v>22750</v>
      </c>
      <c r="G5" s="8"/>
      <c r="H5" s="7"/>
    </row>
    <row r="6" spans="1:12" ht="15.75" thickBot="1" x14ac:dyDescent="0.25">
      <c r="A6">
        <v>0.16602130454078012</v>
      </c>
      <c r="B6">
        <f t="shared" si="0"/>
        <v>27</v>
      </c>
      <c r="C6">
        <f t="shared" si="1"/>
        <v>27</v>
      </c>
      <c r="D6" s="19">
        <f t="shared" si="2"/>
        <v>10800</v>
      </c>
      <c r="E6" s="19">
        <f t="shared" si="4"/>
        <v>10350</v>
      </c>
      <c r="F6" s="19">
        <f t="shared" si="3"/>
        <v>21150</v>
      </c>
      <c r="G6" s="5"/>
      <c r="H6" s="4"/>
    </row>
    <row r="7" spans="1:12" x14ac:dyDescent="0.2">
      <c r="A7">
        <v>0.59254137127742446</v>
      </c>
      <c r="B7">
        <f t="shared" si="0"/>
        <v>31</v>
      </c>
      <c r="C7">
        <f t="shared" si="1"/>
        <v>31</v>
      </c>
      <c r="D7" s="19">
        <f t="shared" si="2"/>
        <v>12400</v>
      </c>
      <c r="E7" s="19">
        <f t="shared" si="4"/>
        <v>10350</v>
      </c>
      <c r="F7" s="19">
        <f t="shared" si="3"/>
        <v>22750</v>
      </c>
    </row>
    <row r="8" spans="1:12" x14ac:dyDescent="0.2">
      <c r="A8">
        <v>9.9318358413901797E-2</v>
      </c>
      <c r="B8">
        <f t="shared" si="0"/>
        <v>26</v>
      </c>
      <c r="C8">
        <f t="shared" si="1"/>
        <v>26</v>
      </c>
      <c r="D8" s="19">
        <f t="shared" si="2"/>
        <v>10400</v>
      </c>
      <c r="E8" s="19">
        <f t="shared" si="4"/>
        <v>10350</v>
      </c>
      <c r="F8" s="19">
        <f t="shared" si="3"/>
        <v>20750</v>
      </c>
    </row>
    <row r="9" spans="1:12" x14ac:dyDescent="0.2">
      <c r="A9">
        <v>0.14493069575784501</v>
      </c>
      <c r="B9">
        <f t="shared" si="0"/>
        <v>27</v>
      </c>
      <c r="C9">
        <f t="shared" si="1"/>
        <v>27</v>
      </c>
      <c r="D9" s="19">
        <f t="shared" si="2"/>
        <v>10800</v>
      </c>
      <c r="E9" s="19">
        <f t="shared" si="4"/>
        <v>10350</v>
      </c>
      <c r="F9" s="19">
        <f t="shared" si="3"/>
        <v>21150</v>
      </c>
      <c r="K9" s="18" t="s">
        <v>19</v>
      </c>
      <c r="L9" s="18" t="s">
        <v>11</v>
      </c>
    </row>
    <row r="10" spans="1:12" x14ac:dyDescent="0.2">
      <c r="A10">
        <v>0.32232064535326788</v>
      </c>
      <c r="B10">
        <f t="shared" si="0"/>
        <v>29</v>
      </c>
      <c r="C10">
        <f t="shared" si="1"/>
        <v>29</v>
      </c>
      <c r="D10" s="19">
        <f t="shared" si="2"/>
        <v>11600</v>
      </c>
      <c r="E10" s="19">
        <f t="shared" si="4"/>
        <v>10350</v>
      </c>
      <c r="F10" s="19">
        <f t="shared" si="3"/>
        <v>21950</v>
      </c>
      <c r="L10" s="19">
        <f>L2</f>
        <v>22074</v>
      </c>
    </row>
    <row r="11" spans="1:12" x14ac:dyDescent="0.2">
      <c r="A11">
        <v>0.4346382916724939</v>
      </c>
      <c r="B11">
        <f t="shared" si="0"/>
        <v>30</v>
      </c>
      <c r="C11">
        <f t="shared" si="1"/>
        <v>30</v>
      </c>
      <c r="D11" s="19">
        <f t="shared" si="2"/>
        <v>12000</v>
      </c>
      <c r="E11" s="19">
        <f t="shared" si="4"/>
        <v>10350</v>
      </c>
      <c r="F11" s="19">
        <f t="shared" si="3"/>
        <v>22350</v>
      </c>
      <c r="K11">
        <v>20</v>
      </c>
      <c r="L11">
        <f t="dataTable" ref="L11:L31" dt2D="0" dtr="0" r1="K2"/>
        <v>20000</v>
      </c>
    </row>
    <row r="12" spans="1:12" x14ac:dyDescent="0.2">
      <c r="A12">
        <v>0.18499936480450119</v>
      </c>
      <c r="B12">
        <f t="shared" si="0"/>
        <v>27</v>
      </c>
      <c r="C12">
        <f t="shared" si="1"/>
        <v>27</v>
      </c>
      <c r="D12" s="19">
        <f t="shared" si="2"/>
        <v>10800</v>
      </c>
      <c r="E12" s="19">
        <f t="shared" si="4"/>
        <v>10350</v>
      </c>
      <c r="F12" s="19">
        <f t="shared" si="3"/>
        <v>21150</v>
      </c>
      <c r="K12">
        <v>21</v>
      </c>
      <c r="L12">
        <v>20250</v>
      </c>
    </row>
    <row r="13" spans="1:12" x14ac:dyDescent="0.2">
      <c r="A13">
        <v>0.89005715142857522</v>
      </c>
      <c r="B13">
        <f t="shared" si="0"/>
        <v>34</v>
      </c>
      <c r="C13">
        <f t="shared" si="1"/>
        <v>31</v>
      </c>
      <c r="D13" s="19">
        <f t="shared" si="2"/>
        <v>12400</v>
      </c>
      <c r="E13" s="19">
        <f t="shared" si="4"/>
        <v>10350</v>
      </c>
      <c r="F13" s="19">
        <f t="shared" si="3"/>
        <v>22750</v>
      </c>
      <c r="K13">
        <v>22</v>
      </c>
      <c r="L13">
        <v>20500</v>
      </c>
    </row>
    <row r="14" spans="1:12" x14ac:dyDescent="0.2">
      <c r="A14">
        <v>0.36991180436824578</v>
      </c>
      <c r="B14">
        <f t="shared" si="0"/>
        <v>29</v>
      </c>
      <c r="C14">
        <f t="shared" si="1"/>
        <v>29</v>
      </c>
      <c r="D14" s="19">
        <f t="shared" si="2"/>
        <v>11600</v>
      </c>
      <c r="E14" s="19">
        <f t="shared" si="4"/>
        <v>10350</v>
      </c>
      <c r="F14" s="19">
        <f t="shared" si="3"/>
        <v>21950</v>
      </c>
      <c r="K14">
        <v>23</v>
      </c>
      <c r="L14">
        <v>20750</v>
      </c>
    </row>
    <row r="15" spans="1:12" x14ac:dyDescent="0.2">
      <c r="A15">
        <v>0.7929421462919316</v>
      </c>
      <c r="B15">
        <f t="shared" si="0"/>
        <v>32</v>
      </c>
      <c r="C15">
        <f t="shared" si="1"/>
        <v>31</v>
      </c>
      <c r="D15" s="19">
        <f t="shared" si="2"/>
        <v>12400</v>
      </c>
      <c r="E15" s="19">
        <f t="shared" si="4"/>
        <v>10350</v>
      </c>
      <c r="F15" s="19">
        <f t="shared" si="3"/>
        <v>22750</v>
      </c>
      <c r="K15">
        <v>24</v>
      </c>
      <c r="L15">
        <v>20996</v>
      </c>
    </row>
    <row r="16" spans="1:12" x14ac:dyDescent="0.2">
      <c r="A16">
        <v>0.95457248978576414</v>
      </c>
      <c r="B16">
        <f t="shared" si="0"/>
        <v>35</v>
      </c>
      <c r="C16">
        <f t="shared" si="1"/>
        <v>31</v>
      </c>
      <c r="D16" s="19">
        <f t="shared" si="2"/>
        <v>12400</v>
      </c>
      <c r="E16" s="19">
        <f t="shared" si="4"/>
        <v>10350</v>
      </c>
      <c r="F16" s="19">
        <f t="shared" si="3"/>
        <v>22750</v>
      </c>
      <c r="K16">
        <v>25</v>
      </c>
      <c r="L16">
        <v>21238</v>
      </c>
    </row>
    <row r="17" spans="1:13" x14ac:dyDescent="0.2">
      <c r="A17">
        <v>0.35525338736802636</v>
      </c>
      <c r="B17">
        <f t="shared" si="0"/>
        <v>29</v>
      </c>
      <c r="C17">
        <f t="shared" si="1"/>
        <v>29</v>
      </c>
      <c r="D17" s="19">
        <f t="shared" si="2"/>
        <v>11600</v>
      </c>
      <c r="E17" s="19">
        <f t="shared" si="4"/>
        <v>10350</v>
      </c>
      <c r="F17" s="19">
        <f t="shared" si="3"/>
        <v>21950</v>
      </c>
      <c r="K17">
        <v>26</v>
      </c>
      <c r="L17">
        <v>21472</v>
      </c>
    </row>
    <row r="18" spans="1:13" x14ac:dyDescent="0.2">
      <c r="A18">
        <v>0.58055868840271729</v>
      </c>
      <c r="B18">
        <f t="shared" si="0"/>
        <v>31</v>
      </c>
      <c r="C18">
        <f t="shared" si="1"/>
        <v>31</v>
      </c>
      <c r="D18" s="19">
        <f t="shared" si="2"/>
        <v>12400</v>
      </c>
      <c r="E18" s="19">
        <f t="shared" si="4"/>
        <v>10350</v>
      </c>
      <c r="F18" s="19">
        <f t="shared" si="3"/>
        <v>22750</v>
      </c>
      <c r="K18">
        <v>27</v>
      </c>
      <c r="L18">
        <v>21686</v>
      </c>
    </row>
    <row r="19" spans="1:13" x14ac:dyDescent="0.2">
      <c r="A19">
        <v>0.50784443573013516</v>
      </c>
      <c r="B19">
        <f t="shared" si="0"/>
        <v>30</v>
      </c>
      <c r="C19">
        <f t="shared" si="1"/>
        <v>30</v>
      </c>
      <c r="D19" s="19">
        <f t="shared" si="2"/>
        <v>12000</v>
      </c>
      <c r="E19" s="19">
        <f t="shared" si="4"/>
        <v>10350</v>
      </c>
      <c r="F19" s="19">
        <f t="shared" si="3"/>
        <v>22350</v>
      </c>
      <c r="K19">
        <v>28</v>
      </c>
      <c r="L19">
        <v>21856</v>
      </c>
    </row>
    <row r="20" spans="1:13" x14ac:dyDescent="0.2">
      <c r="A20">
        <v>0.90930015446418555</v>
      </c>
      <c r="B20">
        <f t="shared" si="0"/>
        <v>34</v>
      </c>
      <c r="C20">
        <f t="shared" si="1"/>
        <v>31</v>
      </c>
      <c r="D20" s="19">
        <f t="shared" si="2"/>
        <v>12400</v>
      </c>
      <c r="E20" s="19">
        <f t="shared" si="4"/>
        <v>10350</v>
      </c>
      <c r="F20" s="19">
        <f t="shared" si="3"/>
        <v>22750</v>
      </c>
      <c r="K20">
        <v>29</v>
      </c>
      <c r="L20">
        <v>21982</v>
      </c>
    </row>
    <row r="21" spans="1:13" x14ac:dyDescent="0.2">
      <c r="A21">
        <v>0.68946790756494103</v>
      </c>
      <c r="B21">
        <f t="shared" si="0"/>
        <v>31</v>
      </c>
      <c r="C21">
        <f t="shared" si="1"/>
        <v>31</v>
      </c>
      <c r="D21" s="19">
        <f t="shared" si="2"/>
        <v>12400</v>
      </c>
      <c r="E21" s="19">
        <f t="shared" si="4"/>
        <v>10350</v>
      </c>
      <c r="F21" s="19">
        <f t="shared" si="3"/>
        <v>22750</v>
      </c>
      <c r="K21">
        <v>30</v>
      </c>
      <c r="L21">
        <v>22052</v>
      </c>
    </row>
    <row r="22" spans="1:13" x14ac:dyDescent="0.2">
      <c r="A22">
        <v>0.23153990797710977</v>
      </c>
      <c r="B22">
        <f t="shared" si="0"/>
        <v>28</v>
      </c>
      <c r="C22">
        <f t="shared" si="1"/>
        <v>28</v>
      </c>
      <c r="D22" s="19">
        <f t="shared" si="2"/>
        <v>11200</v>
      </c>
      <c r="E22" s="19">
        <f t="shared" si="4"/>
        <v>10350</v>
      </c>
      <c r="F22" s="19">
        <f t="shared" si="3"/>
        <v>21550</v>
      </c>
      <c r="J22" s="22" t="s">
        <v>21</v>
      </c>
      <c r="K22">
        <v>31</v>
      </c>
      <c r="L22">
        <v>22074</v>
      </c>
      <c r="M22" s="18" t="s">
        <v>22</v>
      </c>
    </row>
    <row r="23" spans="1:13" x14ac:dyDescent="0.2">
      <c r="A23">
        <v>6.6585794774768892E-2</v>
      </c>
      <c r="B23">
        <f t="shared" si="0"/>
        <v>25</v>
      </c>
      <c r="C23">
        <f t="shared" si="1"/>
        <v>25</v>
      </c>
      <c r="D23" s="19">
        <f t="shared" si="2"/>
        <v>10000</v>
      </c>
      <c r="E23" s="19">
        <f t="shared" si="4"/>
        <v>10350</v>
      </c>
      <c r="F23" s="19">
        <f t="shared" si="3"/>
        <v>20350</v>
      </c>
      <c r="K23">
        <v>32</v>
      </c>
      <c r="L23">
        <v>22056</v>
      </c>
    </row>
    <row r="24" spans="1:13" x14ac:dyDescent="0.2">
      <c r="A24">
        <v>0.91143350531885214</v>
      </c>
      <c r="B24">
        <f t="shared" si="0"/>
        <v>34</v>
      </c>
      <c r="C24">
        <f t="shared" si="1"/>
        <v>31</v>
      </c>
      <c r="D24" s="19">
        <f t="shared" si="2"/>
        <v>12400</v>
      </c>
      <c r="E24" s="19">
        <f t="shared" si="4"/>
        <v>10350</v>
      </c>
      <c r="F24" s="19">
        <f t="shared" si="3"/>
        <v>22750</v>
      </c>
      <c r="K24">
        <v>33</v>
      </c>
      <c r="L24">
        <v>21986</v>
      </c>
    </row>
    <row r="25" spans="1:13" x14ac:dyDescent="0.2">
      <c r="A25">
        <v>0.5665701340632211</v>
      </c>
      <c r="B25">
        <f t="shared" si="0"/>
        <v>31</v>
      </c>
      <c r="C25">
        <f t="shared" si="1"/>
        <v>31</v>
      </c>
      <c r="D25" s="19">
        <f t="shared" si="2"/>
        <v>12400</v>
      </c>
      <c r="E25" s="19">
        <f t="shared" si="4"/>
        <v>10350</v>
      </c>
      <c r="F25" s="19">
        <f t="shared" si="3"/>
        <v>22750</v>
      </c>
      <c r="K25">
        <v>34</v>
      </c>
      <c r="L25">
        <v>21896</v>
      </c>
    </row>
    <row r="26" spans="1:13" x14ac:dyDescent="0.2">
      <c r="A26">
        <v>0.41795976922245803</v>
      </c>
      <c r="B26">
        <f t="shared" si="0"/>
        <v>29</v>
      </c>
      <c r="C26">
        <f t="shared" si="1"/>
        <v>29</v>
      </c>
      <c r="D26" s="19">
        <f t="shared" si="2"/>
        <v>11600</v>
      </c>
      <c r="E26" s="19">
        <f t="shared" si="4"/>
        <v>10350</v>
      </c>
      <c r="F26" s="19">
        <f t="shared" si="3"/>
        <v>21950</v>
      </c>
      <c r="K26">
        <v>35</v>
      </c>
      <c r="L26">
        <v>21786</v>
      </c>
    </row>
    <row r="27" spans="1:13" x14ac:dyDescent="0.2">
      <c r="A27">
        <v>0.80259739802087404</v>
      </c>
      <c r="B27">
        <f t="shared" si="0"/>
        <v>33</v>
      </c>
      <c r="C27">
        <f t="shared" si="1"/>
        <v>31</v>
      </c>
      <c r="D27" s="19">
        <f t="shared" si="2"/>
        <v>12400</v>
      </c>
      <c r="E27" s="19">
        <f t="shared" si="4"/>
        <v>10350</v>
      </c>
      <c r="F27" s="19">
        <f t="shared" si="3"/>
        <v>22750</v>
      </c>
      <c r="K27">
        <v>36</v>
      </c>
      <c r="L27">
        <v>21660</v>
      </c>
    </row>
    <row r="28" spans="1:13" x14ac:dyDescent="0.2">
      <c r="A28">
        <v>0.98020658613978306</v>
      </c>
      <c r="B28">
        <f t="shared" si="0"/>
        <v>36</v>
      </c>
      <c r="C28">
        <f t="shared" si="1"/>
        <v>31</v>
      </c>
      <c r="D28" s="19">
        <f t="shared" si="2"/>
        <v>12400</v>
      </c>
      <c r="E28" s="19">
        <f t="shared" si="4"/>
        <v>10350</v>
      </c>
      <c r="F28" s="19">
        <f t="shared" si="3"/>
        <v>22750</v>
      </c>
      <c r="K28">
        <v>37</v>
      </c>
      <c r="L28">
        <v>21526</v>
      </c>
    </row>
    <row r="29" spans="1:13" x14ac:dyDescent="0.2">
      <c r="A29">
        <v>0.30788881661104506</v>
      </c>
      <c r="B29">
        <f t="shared" si="0"/>
        <v>28</v>
      </c>
      <c r="C29">
        <f t="shared" si="1"/>
        <v>28</v>
      </c>
      <c r="D29" s="19">
        <f t="shared" si="2"/>
        <v>11200</v>
      </c>
      <c r="E29" s="19">
        <f t="shared" si="4"/>
        <v>10350</v>
      </c>
      <c r="F29" s="19">
        <f t="shared" si="3"/>
        <v>21550</v>
      </c>
      <c r="K29">
        <v>38</v>
      </c>
      <c r="L29">
        <v>21384</v>
      </c>
    </row>
    <row r="30" spans="1:13" x14ac:dyDescent="0.2">
      <c r="A30">
        <v>0.36876330624763975</v>
      </c>
      <c r="B30">
        <f t="shared" si="0"/>
        <v>29</v>
      </c>
      <c r="C30">
        <f t="shared" si="1"/>
        <v>29</v>
      </c>
      <c r="D30" s="19">
        <f t="shared" si="2"/>
        <v>11600</v>
      </c>
      <c r="E30" s="19">
        <f t="shared" si="4"/>
        <v>10350</v>
      </c>
      <c r="F30" s="19">
        <f t="shared" si="3"/>
        <v>21950</v>
      </c>
      <c r="K30">
        <v>39</v>
      </c>
      <c r="L30">
        <v>21238</v>
      </c>
    </row>
    <row r="31" spans="1:13" x14ac:dyDescent="0.2">
      <c r="A31">
        <v>0.72228608785001747</v>
      </c>
      <c r="B31">
        <f t="shared" si="0"/>
        <v>32</v>
      </c>
      <c r="C31">
        <f t="shared" si="1"/>
        <v>31</v>
      </c>
      <c r="D31" s="19">
        <f t="shared" si="2"/>
        <v>12400</v>
      </c>
      <c r="E31" s="19">
        <f t="shared" si="4"/>
        <v>10350</v>
      </c>
      <c r="F31" s="19">
        <f t="shared" si="3"/>
        <v>22750</v>
      </c>
      <c r="K31">
        <v>40</v>
      </c>
      <c r="L31">
        <v>21088</v>
      </c>
    </row>
    <row r="32" spans="1:13" x14ac:dyDescent="0.2">
      <c r="A32">
        <v>0.58153453492633789</v>
      </c>
      <c r="B32">
        <f t="shared" si="0"/>
        <v>31</v>
      </c>
      <c r="C32">
        <f t="shared" si="1"/>
        <v>31</v>
      </c>
      <c r="D32" s="19">
        <f t="shared" si="2"/>
        <v>12400</v>
      </c>
      <c r="E32" s="19">
        <f t="shared" si="4"/>
        <v>10350</v>
      </c>
      <c r="F32" s="19">
        <f t="shared" si="3"/>
        <v>22750</v>
      </c>
    </row>
    <row r="33" spans="1:6" x14ac:dyDescent="0.2">
      <c r="A33">
        <v>0.23783198256387583</v>
      </c>
      <c r="B33">
        <f t="shared" si="0"/>
        <v>28</v>
      </c>
      <c r="C33">
        <f t="shared" si="1"/>
        <v>28</v>
      </c>
      <c r="D33" s="19">
        <f t="shared" si="2"/>
        <v>11200</v>
      </c>
      <c r="E33" s="19">
        <f t="shared" si="4"/>
        <v>10350</v>
      </c>
      <c r="F33" s="19">
        <f t="shared" si="3"/>
        <v>21550</v>
      </c>
    </row>
    <row r="34" spans="1:6" x14ac:dyDescent="0.2">
      <c r="A34">
        <v>0.56754411477443822</v>
      </c>
      <c r="B34">
        <f t="shared" si="0"/>
        <v>31</v>
      </c>
      <c r="C34">
        <f t="shared" si="1"/>
        <v>31</v>
      </c>
      <c r="D34" s="19">
        <f t="shared" si="2"/>
        <v>12400</v>
      </c>
      <c r="E34" s="19">
        <f t="shared" si="4"/>
        <v>10350</v>
      </c>
      <c r="F34" s="19">
        <f t="shared" si="3"/>
        <v>22750</v>
      </c>
    </row>
    <row r="35" spans="1:6" x14ac:dyDescent="0.2">
      <c r="A35">
        <v>0.61826549597210811</v>
      </c>
      <c r="B35">
        <f t="shared" ref="B35:B66" si="5">ROUND(_xlfn.NORM.INV(A35,$G$3,$H$3),0)</f>
        <v>31</v>
      </c>
      <c r="C35">
        <f t="shared" si="1"/>
        <v>31</v>
      </c>
      <c r="D35" s="19">
        <f t="shared" si="2"/>
        <v>12400</v>
      </c>
      <c r="E35" s="19">
        <f t="shared" si="4"/>
        <v>10350</v>
      </c>
      <c r="F35" s="19">
        <f t="shared" si="3"/>
        <v>22750</v>
      </c>
    </row>
    <row r="36" spans="1:6" x14ac:dyDescent="0.2">
      <c r="A36">
        <v>0.93753753168681808</v>
      </c>
      <c r="B36">
        <f t="shared" si="5"/>
        <v>35</v>
      </c>
      <c r="C36">
        <f t="shared" si="1"/>
        <v>31</v>
      </c>
      <c r="D36" s="19">
        <f t="shared" si="2"/>
        <v>12400</v>
      </c>
      <c r="E36" s="19">
        <f t="shared" si="4"/>
        <v>10350</v>
      </c>
      <c r="F36" s="19">
        <f t="shared" si="3"/>
        <v>22750</v>
      </c>
    </row>
    <row r="37" spans="1:6" x14ac:dyDescent="0.2">
      <c r="A37">
        <v>0.50068653012056064</v>
      </c>
      <c r="B37">
        <f t="shared" si="5"/>
        <v>30</v>
      </c>
      <c r="C37">
        <f t="shared" si="1"/>
        <v>30</v>
      </c>
      <c r="D37" s="19">
        <f t="shared" si="2"/>
        <v>12000</v>
      </c>
      <c r="E37" s="19">
        <f t="shared" si="4"/>
        <v>10350</v>
      </c>
      <c r="F37" s="19">
        <f t="shared" si="3"/>
        <v>22350</v>
      </c>
    </row>
    <row r="38" spans="1:6" x14ac:dyDescent="0.2">
      <c r="A38">
        <v>0.52113452316470332</v>
      </c>
      <c r="B38">
        <f t="shared" si="5"/>
        <v>30</v>
      </c>
      <c r="C38">
        <f t="shared" si="1"/>
        <v>30</v>
      </c>
      <c r="D38" s="19">
        <f t="shared" si="2"/>
        <v>12000</v>
      </c>
      <c r="E38" s="19">
        <f t="shared" si="4"/>
        <v>10350</v>
      </c>
      <c r="F38" s="19">
        <f t="shared" si="3"/>
        <v>22350</v>
      </c>
    </row>
    <row r="39" spans="1:6" x14ac:dyDescent="0.2">
      <c r="A39">
        <v>0.97482237863641952</v>
      </c>
      <c r="B39">
        <f t="shared" si="5"/>
        <v>36</v>
      </c>
      <c r="C39">
        <f t="shared" si="1"/>
        <v>31</v>
      </c>
      <c r="D39" s="19">
        <f t="shared" si="2"/>
        <v>12400</v>
      </c>
      <c r="E39" s="19">
        <f t="shared" si="4"/>
        <v>10350</v>
      </c>
      <c r="F39" s="19">
        <f t="shared" si="3"/>
        <v>22750</v>
      </c>
    </row>
    <row r="40" spans="1:6" x14ac:dyDescent="0.2">
      <c r="A40">
        <v>0.51574093907433238</v>
      </c>
      <c r="B40">
        <f t="shared" si="5"/>
        <v>30</v>
      </c>
      <c r="C40">
        <f t="shared" si="1"/>
        <v>30</v>
      </c>
      <c r="D40" s="19">
        <f t="shared" si="2"/>
        <v>12000</v>
      </c>
      <c r="E40" s="19">
        <f t="shared" si="4"/>
        <v>10350</v>
      </c>
      <c r="F40" s="19">
        <f t="shared" si="3"/>
        <v>22350</v>
      </c>
    </row>
    <row r="41" spans="1:6" x14ac:dyDescent="0.2">
      <c r="A41">
        <v>0.96076890459457931</v>
      </c>
      <c r="B41">
        <f t="shared" si="5"/>
        <v>35</v>
      </c>
      <c r="C41">
        <f t="shared" si="1"/>
        <v>31</v>
      </c>
      <c r="D41" s="19">
        <f t="shared" si="2"/>
        <v>12400</v>
      </c>
      <c r="E41" s="19">
        <f t="shared" si="4"/>
        <v>10350</v>
      </c>
      <c r="F41" s="19">
        <f t="shared" si="3"/>
        <v>22750</v>
      </c>
    </row>
    <row r="42" spans="1:6" x14ac:dyDescent="0.2">
      <c r="A42">
        <v>0.75533394961506428</v>
      </c>
      <c r="B42">
        <f t="shared" si="5"/>
        <v>32</v>
      </c>
      <c r="C42">
        <f t="shared" si="1"/>
        <v>31</v>
      </c>
      <c r="D42" s="19">
        <f t="shared" si="2"/>
        <v>12400</v>
      </c>
      <c r="E42" s="19">
        <f t="shared" si="4"/>
        <v>10350</v>
      </c>
      <c r="F42" s="19">
        <f t="shared" si="3"/>
        <v>22750</v>
      </c>
    </row>
    <row r="43" spans="1:6" x14ac:dyDescent="0.2">
      <c r="A43">
        <v>3.623927975967689E-2</v>
      </c>
      <c r="B43">
        <f t="shared" si="5"/>
        <v>25</v>
      </c>
      <c r="C43">
        <f t="shared" si="1"/>
        <v>25</v>
      </c>
      <c r="D43" s="19">
        <f t="shared" si="2"/>
        <v>10000</v>
      </c>
      <c r="E43" s="19">
        <f t="shared" si="4"/>
        <v>10350</v>
      </c>
      <c r="F43" s="19">
        <f t="shared" si="3"/>
        <v>20350</v>
      </c>
    </row>
    <row r="44" spans="1:6" x14ac:dyDescent="0.2">
      <c r="A44">
        <v>0.86827962936274961</v>
      </c>
      <c r="B44">
        <f t="shared" si="5"/>
        <v>33</v>
      </c>
      <c r="C44">
        <f t="shared" si="1"/>
        <v>31</v>
      </c>
      <c r="D44" s="19">
        <f t="shared" si="2"/>
        <v>12400</v>
      </c>
      <c r="E44" s="19">
        <f t="shared" si="4"/>
        <v>10350</v>
      </c>
      <c r="F44" s="19">
        <f t="shared" si="3"/>
        <v>22750</v>
      </c>
    </row>
    <row r="45" spans="1:6" x14ac:dyDescent="0.2">
      <c r="A45">
        <v>0.22024963180826673</v>
      </c>
      <c r="B45">
        <f t="shared" si="5"/>
        <v>28</v>
      </c>
      <c r="C45">
        <f t="shared" si="1"/>
        <v>28</v>
      </c>
      <c r="D45" s="19">
        <f t="shared" si="2"/>
        <v>11200</v>
      </c>
      <c r="E45" s="19">
        <f t="shared" si="4"/>
        <v>10350</v>
      </c>
      <c r="F45" s="19">
        <f t="shared" si="3"/>
        <v>21550</v>
      </c>
    </row>
    <row r="46" spans="1:6" x14ac:dyDescent="0.2">
      <c r="A46">
        <v>0.86324756874304842</v>
      </c>
      <c r="B46">
        <f t="shared" si="5"/>
        <v>33</v>
      </c>
      <c r="C46">
        <f t="shared" si="1"/>
        <v>31</v>
      </c>
      <c r="D46" s="19">
        <f t="shared" si="2"/>
        <v>12400</v>
      </c>
      <c r="E46" s="19">
        <f t="shared" si="4"/>
        <v>10350</v>
      </c>
      <c r="F46" s="19">
        <f t="shared" si="3"/>
        <v>22750</v>
      </c>
    </row>
    <row r="47" spans="1:6" x14ac:dyDescent="0.2">
      <c r="A47">
        <v>0.27543807213145999</v>
      </c>
      <c r="B47">
        <f t="shared" si="5"/>
        <v>28</v>
      </c>
      <c r="C47">
        <f t="shared" si="1"/>
        <v>28</v>
      </c>
      <c r="D47" s="19">
        <f t="shared" si="2"/>
        <v>11200</v>
      </c>
      <c r="E47" s="19">
        <f t="shared" si="4"/>
        <v>10350</v>
      </c>
      <c r="F47" s="19">
        <f t="shared" si="3"/>
        <v>21550</v>
      </c>
    </row>
    <row r="48" spans="1:6" x14ac:dyDescent="0.2">
      <c r="A48">
        <v>0.82347186241707471</v>
      </c>
      <c r="B48">
        <f t="shared" si="5"/>
        <v>33</v>
      </c>
      <c r="C48">
        <f t="shared" si="1"/>
        <v>31</v>
      </c>
      <c r="D48" s="19">
        <f t="shared" si="2"/>
        <v>12400</v>
      </c>
      <c r="E48" s="19">
        <f t="shared" si="4"/>
        <v>10350</v>
      </c>
      <c r="F48" s="19">
        <f t="shared" si="3"/>
        <v>22750</v>
      </c>
    </row>
    <row r="49" spans="1:6" x14ac:dyDescent="0.2">
      <c r="A49">
        <v>0.13027769962944591</v>
      </c>
      <c r="B49">
        <f t="shared" si="5"/>
        <v>27</v>
      </c>
      <c r="C49">
        <f t="shared" si="1"/>
        <v>27</v>
      </c>
      <c r="D49" s="19">
        <f t="shared" si="2"/>
        <v>10800</v>
      </c>
      <c r="E49" s="19">
        <f t="shared" si="4"/>
        <v>10350</v>
      </c>
      <c r="F49" s="19">
        <f t="shared" si="3"/>
        <v>21150</v>
      </c>
    </row>
    <row r="50" spans="1:6" x14ac:dyDescent="0.2">
      <c r="A50">
        <v>0.69194297425840767</v>
      </c>
      <c r="B50">
        <f t="shared" si="5"/>
        <v>32</v>
      </c>
      <c r="C50">
        <f t="shared" si="1"/>
        <v>31</v>
      </c>
      <c r="D50" s="19">
        <f t="shared" si="2"/>
        <v>12400</v>
      </c>
      <c r="E50" s="19">
        <f t="shared" si="4"/>
        <v>10350</v>
      </c>
      <c r="F50" s="19">
        <f t="shared" si="3"/>
        <v>22750</v>
      </c>
    </row>
    <row r="51" spans="1:6" x14ac:dyDescent="0.2">
      <c r="A51">
        <v>0.22092750438401554</v>
      </c>
      <c r="B51">
        <f t="shared" si="5"/>
        <v>28</v>
      </c>
      <c r="C51">
        <f t="shared" si="1"/>
        <v>28</v>
      </c>
      <c r="D51" s="19">
        <f t="shared" si="2"/>
        <v>11200</v>
      </c>
      <c r="E51" s="19">
        <f t="shared" si="4"/>
        <v>10350</v>
      </c>
      <c r="F51" s="19">
        <f t="shared" si="3"/>
        <v>21550</v>
      </c>
    </row>
    <row r="52" spans="1:6" x14ac:dyDescent="0.2">
      <c r="A52">
        <v>0.70302471577926184</v>
      </c>
      <c r="B52">
        <f t="shared" si="5"/>
        <v>32</v>
      </c>
      <c r="C52">
        <f t="shared" si="1"/>
        <v>31</v>
      </c>
      <c r="D52" s="19">
        <f t="shared" si="2"/>
        <v>12400</v>
      </c>
      <c r="E52" s="19">
        <f t="shared" si="4"/>
        <v>10350</v>
      </c>
      <c r="F52" s="19">
        <f t="shared" si="3"/>
        <v>22750</v>
      </c>
    </row>
    <row r="53" spans="1:6" x14ac:dyDescent="0.2">
      <c r="A53">
        <v>0.18521378759325746</v>
      </c>
      <c r="B53">
        <f t="shared" si="5"/>
        <v>27</v>
      </c>
      <c r="C53">
        <f t="shared" si="1"/>
        <v>27</v>
      </c>
      <c r="D53" s="19">
        <f t="shared" si="2"/>
        <v>10800</v>
      </c>
      <c r="E53" s="19">
        <f t="shared" si="4"/>
        <v>10350</v>
      </c>
      <c r="F53" s="19">
        <f t="shared" si="3"/>
        <v>21150</v>
      </c>
    </row>
    <row r="54" spans="1:6" x14ac:dyDescent="0.2">
      <c r="A54">
        <v>0.12835520315929461</v>
      </c>
      <c r="B54">
        <f t="shared" si="5"/>
        <v>27</v>
      </c>
      <c r="C54">
        <f t="shared" si="1"/>
        <v>27</v>
      </c>
      <c r="D54" s="19">
        <f t="shared" si="2"/>
        <v>10800</v>
      </c>
      <c r="E54" s="19">
        <f t="shared" si="4"/>
        <v>10350</v>
      </c>
      <c r="F54" s="19">
        <f t="shared" si="3"/>
        <v>21150</v>
      </c>
    </row>
    <row r="55" spans="1:6" x14ac:dyDescent="0.2">
      <c r="A55">
        <v>0.46587794269203464</v>
      </c>
      <c r="B55">
        <f t="shared" si="5"/>
        <v>30</v>
      </c>
      <c r="C55">
        <f t="shared" si="1"/>
        <v>30</v>
      </c>
      <c r="D55" s="19">
        <f t="shared" si="2"/>
        <v>12000</v>
      </c>
      <c r="E55" s="19">
        <f t="shared" si="4"/>
        <v>10350</v>
      </c>
      <c r="F55" s="19">
        <f t="shared" si="3"/>
        <v>22350</v>
      </c>
    </row>
    <row r="56" spans="1:6" x14ac:dyDescent="0.2">
      <c r="A56">
        <v>0.71174846297512973</v>
      </c>
      <c r="B56">
        <f t="shared" si="5"/>
        <v>32</v>
      </c>
      <c r="C56">
        <f t="shared" si="1"/>
        <v>31</v>
      </c>
      <c r="D56" s="19">
        <f t="shared" si="2"/>
        <v>12400</v>
      </c>
      <c r="E56" s="19">
        <f t="shared" si="4"/>
        <v>10350</v>
      </c>
      <c r="F56" s="19">
        <f t="shared" si="3"/>
        <v>22750</v>
      </c>
    </row>
    <row r="57" spans="1:6" x14ac:dyDescent="0.2">
      <c r="A57">
        <v>0.40790316748791589</v>
      </c>
      <c r="B57">
        <f t="shared" si="5"/>
        <v>29</v>
      </c>
      <c r="C57">
        <f t="shared" si="1"/>
        <v>29</v>
      </c>
      <c r="D57" s="19">
        <f t="shared" si="2"/>
        <v>11600</v>
      </c>
      <c r="E57" s="19">
        <f t="shared" si="4"/>
        <v>10350</v>
      </c>
      <c r="F57" s="19">
        <f t="shared" si="3"/>
        <v>21950</v>
      </c>
    </row>
    <row r="58" spans="1:6" x14ac:dyDescent="0.2">
      <c r="A58">
        <v>0.38906014434830871</v>
      </c>
      <c r="B58">
        <f t="shared" si="5"/>
        <v>29</v>
      </c>
      <c r="C58">
        <f t="shared" si="1"/>
        <v>29</v>
      </c>
      <c r="D58" s="19">
        <f t="shared" si="2"/>
        <v>11600</v>
      </c>
      <c r="E58" s="19">
        <f t="shared" si="4"/>
        <v>10350</v>
      </c>
      <c r="F58" s="19">
        <f t="shared" si="3"/>
        <v>21950</v>
      </c>
    </row>
    <row r="59" spans="1:6" x14ac:dyDescent="0.2">
      <c r="A59">
        <v>0.35611222609956572</v>
      </c>
      <c r="B59">
        <f t="shared" si="5"/>
        <v>29</v>
      </c>
      <c r="C59">
        <f t="shared" si="1"/>
        <v>29</v>
      </c>
      <c r="D59" s="19">
        <f t="shared" si="2"/>
        <v>11600</v>
      </c>
      <c r="E59" s="19">
        <f t="shared" si="4"/>
        <v>10350</v>
      </c>
      <c r="F59" s="19">
        <f t="shared" si="3"/>
        <v>21950</v>
      </c>
    </row>
    <row r="60" spans="1:6" x14ac:dyDescent="0.2">
      <c r="A60">
        <v>0.76480706384863961</v>
      </c>
      <c r="B60">
        <f t="shared" si="5"/>
        <v>32</v>
      </c>
      <c r="C60">
        <f t="shared" si="1"/>
        <v>31</v>
      </c>
      <c r="D60" s="19">
        <f t="shared" si="2"/>
        <v>12400</v>
      </c>
      <c r="E60" s="19">
        <f t="shared" si="4"/>
        <v>10350</v>
      </c>
      <c r="F60" s="19">
        <f t="shared" si="3"/>
        <v>22750</v>
      </c>
    </row>
    <row r="61" spans="1:6" x14ac:dyDescent="0.2">
      <c r="A61">
        <v>0.37380507872579849</v>
      </c>
      <c r="B61">
        <f t="shared" si="5"/>
        <v>29</v>
      </c>
      <c r="C61">
        <f t="shared" si="1"/>
        <v>29</v>
      </c>
      <c r="D61" s="19">
        <f t="shared" si="2"/>
        <v>11600</v>
      </c>
      <c r="E61" s="19">
        <f t="shared" si="4"/>
        <v>10350</v>
      </c>
      <c r="F61" s="19">
        <f t="shared" si="3"/>
        <v>21950</v>
      </c>
    </row>
    <row r="62" spans="1:6" x14ac:dyDescent="0.2">
      <c r="A62">
        <v>0.98632577084671602</v>
      </c>
      <c r="B62">
        <f t="shared" si="5"/>
        <v>37</v>
      </c>
      <c r="C62">
        <f t="shared" si="1"/>
        <v>31</v>
      </c>
      <c r="D62" s="19">
        <f t="shared" si="2"/>
        <v>12400</v>
      </c>
      <c r="E62" s="19">
        <f t="shared" si="4"/>
        <v>10350</v>
      </c>
      <c r="F62" s="19">
        <f t="shared" si="3"/>
        <v>22750</v>
      </c>
    </row>
    <row r="63" spans="1:6" x14ac:dyDescent="0.2">
      <c r="A63">
        <v>0.96568474696555506</v>
      </c>
      <c r="B63">
        <f t="shared" si="5"/>
        <v>35</v>
      </c>
      <c r="C63">
        <f t="shared" si="1"/>
        <v>31</v>
      </c>
      <c r="D63" s="19">
        <f t="shared" si="2"/>
        <v>12400</v>
      </c>
      <c r="E63" s="19">
        <f t="shared" si="4"/>
        <v>10350</v>
      </c>
      <c r="F63" s="19">
        <f t="shared" si="3"/>
        <v>22750</v>
      </c>
    </row>
    <row r="64" spans="1:6" x14ac:dyDescent="0.2">
      <c r="A64">
        <v>0.74097981802857171</v>
      </c>
      <c r="B64">
        <f t="shared" si="5"/>
        <v>32</v>
      </c>
      <c r="C64">
        <f t="shared" si="1"/>
        <v>31</v>
      </c>
      <c r="D64" s="19">
        <f t="shared" si="2"/>
        <v>12400</v>
      </c>
      <c r="E64" s="19">
        <f t="shared" si="4"/>
        <v>10350</v>
      </c>
      <c r="F64" s="19">
        <f t="shared" si="3"/>
        <v>22750</v>
      </c>
    </row>
    <row r="65" spans="1:6" x14ac:dyDescent="0.2">
      <c r="A65">
        <v>0.52670744736363895</v>
      </c>
      <c r="B65">
        <f t="shared" si="5"/>
        <v>30</v>
      </c>
      <c r="C65">
        <f t="shared" si="1"/>
        <v>30</v>
      </c>
      <c r="D65" s="19">
        <f t="shared" si="2"/>
        <v>12000</v>
      </c>
      <c r="E65" s="19">
        <f t="shared" si="4"/>
        <v>10350</v>
      </c>
      <c r="F65" s="19">
        <f t="shared" si="3"/>
        <v>22350</v>
      </c>
    </row>
    <row r="66" spans="1:6" x14ac:dyDescent="0.2">
      <c r="A66">
        <v>0.88999867294963253</v>
      </c>
      <c r="B66">
        <f t="shared" si="5"/>
        <v>34</v>
      </c>
      <c r="C66">
        <f t="shared" si="1"/>
        <v>31</v>
      </c>
      <c r="D66" s="19">
        <f t="shared" si="2"/>
        <v>12400</v>
      </c>
      <c r="E66" s="19">
        <f t="shared" si="4"/>
        <v>10350</v>
      </c>
      <c r="F66" s="19">
        <f t="shared" si="3"/>
        <v>22750</v>
      </c>
    </row>
    <row r="67" spans="1:6" x14ac:dyDescent="0.2">
      <c r="A67">
        <v>0.71194694919964541</v>
      </c>
      <c r="B67">
        <f t="shared" ref="B67:B98" si="6">ROUND(_xlfn.NORM.INV(A67,$G$3,$H$3),0)</f>
        <v>32</v>
      </c>
      <c r="C67">
        <f t="shared" si="1"/>
        <v>31</v>
      </c>
      <c r="D67" s="19">
        <f t="shared" si="2"/>
        <v>12400</v>
      </c>
      <c r="E67" s="19">
        <f t="shared" si="4"/>
        <v>10350</v>
      </c>
      <c r="F67" s="19">
        <f t="shared" si="3"/>
        <v>22750</v>
      </c>
    </row>
    <row r="68" spans="1:6" x14ac:dyDescent="0.2">
      <c r="A68">
        <v>0.40468519909178102</v>
      </c>
      <c r="B68">
        <f t="shared" si="6"/>
        <v>29</v>
      </c>
      <c r="C68">
        <f t="shared" ref="C68:C102" si="7">MIN(B68,$K$2)</f>
        <v>29</v>
      </c>
      <c r="D68" s="19">
        <f t="shared" ref="D68:D102" si="8">C68*$J$3</f>
        <v>11600</v>
      </c>
      <c r="E68" s="19">
        <f t="shared" ref="E68:E102" si="9">($J$4-$K$2)*$J$2</f>
        <v>10350</v>
      </c>
      <c r="F68" s="19">
        <f t="shared" ref="F68:F102" si="10">D68+E68</f>
        <v>21950</v>
      </c>
    </row>
    <row r="69" spans="1:6" x14ac:dyDescent="0.2">
      <c r="A69">
        <v>0.10844522801854639</v>
      </c>
      <c r="B69">
        <f t="shared" si="6"/>
        <v>26</v>
      </c>
      <c r="C69">
        <f t="shared" si="7"/>
        <v>26</v>
      </c>
      <c r="D69" s="19">
        <f t="shared" si="8"/>
        <v>10400</v>
      </c>
      <c r="E69" s="19">
        <f t="shared" si="9"/>
        <v>10350</v>
      </c>
      <c r="F69" s="19">
        <f t="shared" si="10"/>
        <v>20750</v>
      </c>
    </row>
    <row r="70" spans="1:6" x14ac:dyDescent="0.2">
      <c r="A70">
        <v>0.43023447639796641</v>
      </c>
      <c r="B70">
        <f t="shared" si="6"/>
        <v>29</v>
      </c>
      <c r="C70">
        <f t="shared" si="7"/>
        <v>29</v>
      </c>
      <c r="D70" s="19">
        <f t="shared" si="8"/>
        <v>11600</v>
      </c>
      <c r="E70" s="19">
        <f t="shared" si="9"/>
        <v>10350</v>
      </c>
      <c r="F70" s="19">
        <f t="shared" si="10"/>
        <v>21950</v>
      </c>
    </row>
    <row r="71" spans="1:6" x14ac:dyDescent="0.2">
      <c r="A71">
        <v>0.76169354271217737</v>
      </c>
      <c r="B71">
        <f t="shared" si="6"/>
        <v>32</v>
      </c>
      <c r="C71">
        <f t="shared" si="7"/>
        <v>31</v>
      </c>
      <c r="D71" s="19">
        <f t="shared" si="8"/>
        <v>12400</v>
      </c>
      <c r="E71" s="19">
        <f t="shared" si="9"/>
        <v>10350</v>
      </c>
      <c r="F71" s="19">
        <f t="shared" si="10"/>
        <v>22750</v>
      </c>
    </row>
    <row r="72" spans="1:6" x14ac:dyDescent="0.2">
      <c r="A72">
        <v>0.41988559409720083</v>
      </c>
      <c r="B72">
        <f t="shared" si="6"/>
        <v>29</v>
      </c>
      <c r="C72">
        <f t="shared" si="7"/>
        <v>29</v>
      </c>
      <c r="D72" s="19">
        <f t="shared" si="8"/>
        <v>11600</v>
      </c>
      <c r="E72" s="19">
        <f t="shared" si="9"/>
        <v>10350</v>
      </c>
      <c r="F72" s="19">
        <f t="shared" si="10"/>
        <v>21950</v>
      </c>
    </row>
    <row r="73" spans="1:6" x14ac:dyDescent="0.2">
      <c r="A73">
        <v>2.0144974775638369E-2</v>
      </c>
      <c r="B73">
        <f t="shared" si="6"/>
        <v>24</v>
      </c>
      <c r="C73">
        <f t="shared" si="7"/>
        <v>24</v>
      </c>
      <c r="D73" s="19">
        <f t="shared" si="8"/>
        <v>9600</v>
      </c>
      <c r="E73" s="19">
        <f t="shared" si="9"/>
        <v>10350</v>
      </c>
      <c r="F73" s="19">
        <f t="shared" si="10"/>
        <v>19950</v>
      </c>
    </row>
    <row r="74" spans="1:6" x14ac:dyDescent="0.2">
      <c r="A74">
        <v>0.21361462948546694</v>
      </c>
      <c r="B74">
        <f t="shared" si="6"/>
        <v>28</v>
      </c>
      <c r="C74">
        <f t="shared" si="7"/>
        <v>28</v>
      </c>
      <c r="D74" s="19">
        <f t="shared" si="8"/>
        <v>11200</v>
      </c>
      <c r="E74" s="19">
        <f t="shared" si="9"/>
        <v>10350</v>
      </c>
      <c r="F74" s="19">
        <f t="shared" si="10"/>
        <v>21550</v>
      </c>
    </row>
    <row r="75" spans="1:6" x14ac:dyDescent="0.2">
      <c r="A75">
        <v>0.25130185233073477</v>
      </c>
      <c r="B75">
        <f t="shared" si="6"/>
        <v>28</v>
      </c>
      <c r="C75">
        <f t="shared" si="7"/>
        <v>28</v>
      </c>
      <c r="D75" s="19">
        <f t="shared" si="8"/>
        <v>11200</v>
      </c>
      <c r="E75" s="19">
        <f t="shared" si="9"/>
        <v>10350</v>
      </c>
      <c r="F75" s="19">
        <f t="shared" si="10"/>
        <v>21550</v>
      </c>
    </row>
    <row r="76" spans="1:6" x14ac:dyDescent="0.2">
      <c r="A76">
        <v>8.9790470109206821E-2</v>
      </c>
      <c r="B76">
        <f t="shared" si="6"/>
        <v>26</v>
      </c>
      <c r="C76">
        <f t="shared" si="7"/>
        <v>26</v>
      </c>
      <c r="D76" s="19">
        <f t="shared" si="8"/>
        <v>10400</v>
      </c>
      <c r="E76" s="19">
        <f t="shared" si="9"/>
        <v>10350</v>
      </c>
      <c r="F76" s="19">
        <f t="shared" si="10"/>
        <v>20750</v>
      </c>
    </row>
    <row r="77" spans="1:6" x14ac:dyDescent="0.2">
      <c r="A77">
        <v>0.99824613145839447</v>
      </c>
      <c r="B77">
        <f t="shared" si="6"/>
        <v>39</v>
      </c>
      <c r="C77">
        <f t="shared" si="7"/>
        <v>31</v>
      </c>
      <c r="D77" s="19">
        <f t="shared" si="8"/>
        <v>12400</v>
      </c>
      <c r="E77" s="19">
        <f t="shared" si="9"/>
        <v>10350</v>
      </c>
      <c r="F77" s="19">
        <f t="shared" si="10"/>
        <v>22750</v>
      </c>
    </row>
    <row r="78" spans="1:6" x14ac:dyDescent="0.2">
      <c r="A78">
        <v>0.13160625949364901</v>
      </c>
      <c r="B78">
        <f t="shared" si="6"/>
        <v>27</v>
      </c>
      <c r="C78">
        <f t="shared" si="7"/>
        <v>27</v>
      </c>
      <c r="D78" s="19">
        <f t="shared" si="8"/>
        <v>10800</v>
      </c>
      <c r="E78" s="19">
        <f t="shared" si="9"/>
        <v>10350</v>
      </c>
      <c r="F78" s="19">
        <f t="shared" si="10"/>
        <v>21150</v>
      </c>
    </row>
    <row r="79" spans="1:6" x14ac:dyDescent="0.2">
      <c r="A79">
        <v>0.99036671135702836</v>
      </c>
      <c r="B79">
        <f t="shared" si="6"/>
        <v>37</v>
      </c>
      <c r="C79">
        <f t="shared" si="7"/>
        <v>31</v>
      </c>
      <c r="D79" s="19">
        <f t="shared" si="8"/>
        <v>12400</v>
      </c>
      <c r="E79" s="19">
        <f t="shared" si="9"/>
        <v>10350</v>
      </c>
      <c r="F79" s="19">
        <f t="shared" si="10"/>
        <v>22750</v>
      </c>
    </row>
    <row r="80" spans="1:6" x14ac:dyDescent="0.2">
      <c r="A80">
        <v>0.17515818982981202</v>
      </c>
      <c r="B80">
        <f t="shared" si="6"/>
        <v>27</v>
      </c>
      <c r="C80">
        <f t="shared" si="7"/>
        <v>27</v>
      </c>
      <c r="D80" s="19">
        <f t="shared" si="8"/>
        <v>10800</v>
      </c>
      <c r="E80" s="19">
        <f t="shared" si="9"/>
        <v>10350</v>
      </c>
      <c r="F80" s="19">
        <f t="shared" si="10"/>
        <v>21150</v>
      </c>
    </row>
    <row r="81" spans="1:6" x14ac:dyDescent="0.2">
      <c r="A81">
        <v>0.11783100774363942</v>
      </c>
      <c r="B81">
        <f t="shared" si="6"/>
        <v>26</v>
      </c>
      <c r="C81">
        <f t="shared" si="7"/>
        <v>26</v>
      </c>
      <c r="D81" s="19">
        <f t="shared" si="8"/>
        <v>10400</v>
      </c>
      <c r="E81" s="19">
        <f t="shared" si="9"/>
        <v>10350</v>
      </c>
      <c r="F81" s="19">
        <f t="shared" si="10"/>
        <v>20750</v>
      </c>
    </row>
    <row r="82" spans="1:6" x14ac:dyDescent="0.2">
      <c r="A82">
        <v>0.68624596565232721</v>
      </c>
      <c r="B82">
        <f t="shared" si="6"/>
        <v>31</v>
      </c>
      <c r="C82">
        <f t="shared" si="7"/>
        <v>31</v>
      </c>
      <c r="D82" s="19">
        <f t="shared" si="8"/>
        <v>12400</v>
      </c>
      <c r="E82" s="19">
        <f t="shared" si="9"/>
        <v>10350</v>
      </c>
      <c r="F82" s="19">
        <f t="shared" si="10"/>
        <v>22750</v>
      </c>
    </row>
    <row r="83" spans="1:6" x14ac:dyDescent="0.2">
      <c r="A83">
        <v>0.21212601430516931</v>
      </c>
      <c r="B83">
        <f t="shared" si="6"/>
        <v>28</v>
      </c>
      <c r="C83">
        <f t="shared" si="7"/>
        <v>28</v>
      </c>
      <c r="D83" s="19">
        <f t="shared" si="8"/>
        <v>11200</v>
      </c>
      <c r="E83" s="19">
        <f t="shared" si="9"/>
        <v>10350</v>
      </c>
      <c r="F83" s="19">
        <f t="shared" si="10"/>
        <v>21550</v>
      </c>
    </row>
    <row r="84" spans="1:6" x14ac:dyDescent="0.2">
      <c r="A84">
        <v>0.91619246040476476</v>
      </c>
      <c r="B84">
        <f t="shared" si="6"/>
        <v>34</v>
      </c>
      <c r="C84">
        <f t="shared" si="7"/>
        <v>31</v>
      </c>
      <c r="D84" s="19">
        <f t="shared" si="8"/>
        <v>12400</v>
      </c>
      <c r="E84" s="19">
        <f t="shared" si="9"/>
        <v>10350</v>
      </c>
      <c r="F84" s="19">
        <f t="shared" si="10"/>
        <v>22750</v>
      </c>
    </row>
    <row r="85" spans="1:6" x14ac:dyDescent="0.2">
      <c r="A85">
        <v>0.70441371702873512</v>
      </c>
      <c r="B85">
        <f t="shared" si="6"/>
        <v>32</v>
      </c>
      <c r="C85">
        <f t="shared" si="7"/>
        <v>31</v>
      </c>
      <c r="D85" s="19">
        <f t="shared" si="8"/>
        <v>12400</v>
      </c>
      <c r="E85" s="19">
        <f t="shared" si="9"/>
        <v>10350</v>
      </c>
      <c r="F85" s="19">
        <f t="shared" si="10"/>
        <v>22750</v>
      </c>
    </row>
    <row r="86" spans="1:6" x14ac:dyDescent="0.2">
      <c r="A86">
        <v>0.18905453614651202</v>
      </c>
      <c r="B86">
        <f t="shared" si="6"/>
        <v>27</v>
      </c>
      <c r="C86">
        <f t="shared" si="7"/>
        <v>27</v>
      </c>
      <c r="D86" s="19">
        <f t="shared" si="8"/>
        <v>10800</v>
      </c>
      <c r="E86" s="19">
        <f t="shared" si="9"/>
        <v>10350</v>
      </c>
      <c r="F86" s="19">
        <f t="shared" si="10"/>
        <v>21150</v>
      </c>
    </row>
    <row r="87" spans="1:6" x14ac:dyDescent="0.2">
      <c r="A87">
        <v>0.14616661742085746</v>
      </c>
      <c r="B87">
        <f t="shared" si="6"/>
        <v>27</v>
      </c>
      <c r="C87">
        <f t="shared" si="7"/>
        <v>27</v>
      </c>
      <c r="D87" s="19">
        <f t="shared" si="8"/>
        <v>10800</v>
      </c>
      <c r="E87" s="19">
        <f t="shared" si="9"/>
        <v>10350</v>
      </c>
      <c r="F87" s="19">
        <f t="shared" si="10"/>
        <v>21150</v>
      </c>
    </row>
    <row r="88" spans="1:6" x14ac:dyDescent="0.2">
      <c r="A88">
        <v>1.460320272398441E-2</v>
      </c>
      <c r="B88">
        <f t="shared" si="6"/>
        <v>23</v>
      </c>
      <c r="C88">
        <f t="shared" si="7"/>
        <v>23</v>
      </c>
      <c r="D88" s="19">
        <f t="shared" si="8"/>
        <v>9200</v>
      </c>
      <c r="E88" s="19">
        <f t="shared" si="9"/>
        <v>10350</v>
      </c>
      <c r="F88" s="19">
        <f t="shared" si="10"/>
        <v>19550</v>
      </c>
    </row>
    <row r="89" spans="1:6" x14ac:dyDescent="0.2">
      <c r="A89">
        <v>0.37201808057736108</v>
      </c>
      <c r="B89">
        <f t="shared" si="6"/>
        <v>29</v>
      </c>
      <c r="C89">
        <f t="shared" si="7"/>
        <v>29</v>
      </c>
      <c r="D89" s="19">
        <f t="shared" si="8"/>
        <v>11600</v>
      </c>
      <c r="E89" s="19">
        <f t="shared" si="9"/>
        <v>10350</v>
      </c>
      <c r="F89" s="19">
        <f t="shared" si="10"/>
        <v>21950</v>
      </c>
    </row>
    <row r="90" spans="1:6" x14ac:dyDescent="0.2">
      <c r="A90">
        <v>0.21169656829873962</v>
      </c>
      <c r="B90">
        <f t="shared" si="6"/>
        <v>28</v>
      </c>
      <c r="C90">
        <f t="shared" si="7"/>
        <v>28</v>
      </c>
      <c r="D90" s="19">
        <f t="shared" si="8"/>
        <v>11200</v>
      </c>
      <c r="E90" s="19">
        <f t="shared" si="9"/>
        <v>10350</v>
      </c>
      <c r="F90" s="19">
        <f t="shared" si="10"/>
        <v>21550</v>
      </c>
    </row>
    <row r="91" spans="1:6" x14ac:dyDescent="0.2">
      <c r="A91">
        <v>0.22186164178086598</v>
      </c>
      <c r="B91">
        <f t="shared" si="6"/>
        <v>28</v>
      </c>
      <c r="C91">
        <f t="shared" si="7"/>
        <v>28</v>
      </c>
      <c r="D91" s="19">
        <f t="shared" si="8"/>
        <v>11200</v>
      </c>
      <c r="E91" s="19">
        <f t="shared" si="9"/>
        <v>10350</v>
      </c>
      <c r="F91" s="19">
        <f t="shared" si="10"/>
        <v>21550</v>
      </c>
    </row>
    <row r="92" spans="1:6" x14ac:dyDescent="0.2">
      <c r="A92">
        <v>0.12477612020600115</v>
      </c>
      <c r="B92">
        <f t="shared" si="6"/>
        <v>27</v>
      </c>
      <c r="C92">
        <f t="shared" si="7"/>
        <v>27</v>
      </c>
      <c r="D92" s="19">
        <f t="shared" si="8"/>
        <v>10800</v>
      </c>
      <c r="E92" s="19">
        <f t="shared" si="9"/>
        <v>10350</v>
      </c>
      <c r="F92" s="19">
        <f t="shared" si="10"/>
        <v>21150</v>
      </c>
    </row>
    <row r="93" spans="1:6" x14ac:dyDescent="0.2">
      <c r="A93">
        <v>0.51034058704457408</v>
      </c>
      <c r="B93">
        <f t="shared" si="6"/>
        <v>30</v>
      </c>
      <c r="C93">
        <f t="shared" si="7"/>
        <v>30</v>
      </c>
      <c r="D93" s="19">
        <f t="shared" si="8"/>
        <v>12000</v>
      </c>
      <c r="E93" s="19">
        <f t="shared" si="9"/>
        <v>10350</v>
      </c>
      <c r="F93" s="19">
        <f t="shared" si="10"/>
        <v>22350</v>
      </c>
    </row>
    <row r="94" spans="1:6" x14ac:dyDescent="0.2">
      <c r="A94">
        <v>0.54046770356013707</v>
      </c>
      <c r="B94">
        <f t="shared" si="6"/>
        <v>30</v>
      </c>
      <c r="C94">
        <f t="shared" si="7"/>
        <v>30</v>
      </c>
      <c r="D94" s="19">
        <f t="shared" si="8"/>
        <v>12000</v>
      </c>
      <c r="E94" s="19">
        <f t="shared" si="9"/>
        <v>10350</v>
      </c>
      <c r="F94" s="19">
        <f t="shared" si="10"/>
        <v>22350</v>
      </c>
    </row>
    <row r="95" spans="1:6" x14ac:dyDescent="0.2">
      <c r="A95">
        <v>0.99542008766689472</v>
      </c>
      <c r="B95">
        <f t="shared" si="6"/>
        <v>38</v>
      </c>
      <c r="C95">
        <f t="shared" si="7"/>
        <v>31</v>
      </c>
      <c r="D95" s="19">
        <f t="shared" si="8"/>
        <v>12400</v>
      </c>
      <c r="E95" s="19">
        <f t="shared" si="9"/>
        <v>10350</v>
      </c>
      <c r="F95" s="19">
        <f t="shared" si="10"/>
        <v>22750</v>
      </c>
    </row>
    <row r="96" spans="1:6" x14ac:dyDescent="0.2">
      <c r="A96">
        <v>0.43676645442879114</v>
      </c>
      <c r="B96">
        <f t="shared" si="6"/>
        <v>30</v>
      </c>
      <c r="C96">
        <f t="shared" si="7"/>
        <v>30</v>
      </c>
      <c r="D96" s="19">
        <f t="shared" si="8"/>
        <v>12000</v>
      </c>
      <c r="E96" s="19">
        <f t="shared" si="9"/>
        <v>10350</v>
      </c>
      <c r="F96" s="19">
        <f t="shared" si="10"/>
        <v>22350</v>
      </c>
    </row>
    <row r="97" spans="1:6" x14ac:dyDescent="0.2">
      <c r="A97">
        <v>0.64881516974388798</v>
      </c>
      <c r="B97">
        <f t="shared" si="6"/>
        <v>31</v>
      </c>
      <c r="C97">
        <f t="shared" si="7"/>
        <v>31</v>
      </c>
      <c r="D97" s="19">
        <f t="shared" si="8"/>
        <v>12400</v>
      </c>
      <c r="E97" s="19">
        <f t="shared" si="9"/>
        <v>10350</v>
      </c>
      <c r="F97" s="19">
        <f t="shared" si="10"/>
        <v>22750</v>
      </c>
    </row>
    <row r="98" spans="1:6" x14ac:dyDescent="0.2">
      <c r="A98">
        <v>0.405029651117218</v>
      </c>
      <c r="B98">
        <f t="shared" si="6"/>
        <v>29</v>
      </c>
      <c r="C98">
        <f t="shared" si="7"/>
        <v>29</v>
      </c>
      <c r="D98" s="19">
        <f t="shared" si="8"/>
        <v>11600</v>
      </c>
      <c r="E98" s="19">
        <f t="shared" si="9"/>
        <v>10350</v>
      </c>
      <c r="F98" s="19">
        <f t="shared" si="10"/>
        <v>21950</v>
      </c>
    </row>
    <row r="99" spans="1:6" x14ac:dyDescent="0.2">
      <c r="A99">
        <v>0.56935968701004835</v>
      </c>
      <c r="B99">
        <f t="shared" ref="B99:B102" si="11">ROUND(_xlfn.NORM.INV(A99,$G$3,$H$3),0)</f>
        <v>31</v>
      </c>
      <c r="C99">
        <f t="shared" si="7"/>
        <v>31</v>
      </c>
      <c r="D99" s="19">
        <f t="shared" si="8"/>
        <v>12400</v>
      </c>
      <c r="E99" s="19">
        <f t="shared" si="9"/>
        <v>10350</v>
      </c>
      <c r="F99" s="19">
        <f t="shared" si="10"/>
        <v>22750</v>
      </c>
    </row>
    <row r="100" spans="1:6" x14ac:dyDescent="0.2">
      <c r="A100">
        <v>0.84777807837479791</v>
      </c>
      <c r="B100">
        <f t="shared" si="11"/>
        <v>33</v>
      </c>
      <c r="C100">
        <f t="shared" si="7"/>
        <v>31</v>
      </c>
      <c r="D100" s="19">
        <f t="shared" si="8"/>
        <v>12400</v>
      </c>
      <c r="E100" s="19">
        <f t="shared" si="9"/>
        <v>10350</v>
      </c>
      <c r="F100" s="19">
        <f t="shared" si="10"/>
        <v>22750</v>
      </c>
    </row>
    <row r="101" spans="1:6" x14ac:dyDescent="0.2">
      <c r="A101">
        <v>0.48336685654413603</v>
      </c>
      <c r="B101">
        <f t="shared" si="11"/>
        <v>30</v>
      </c>
      <c r="C101">
        <f t="shared" si="7"/>
        <v>30</v>
      </c>
      <c r="D101" s="19">
        <f t="shared" si="8"/>
        <v>12000</v>
      </c>
      <c r="E101" s="19">
        <f t="shared" si="9"/>
        <v>10350</v>
      </c>
      <c r="F101" s="19">
        <f t="shared" si="10"/>
        <v>22350</v>
      </c>
    </row>
    <row r="102" spans="1:6" x14ac:dyDescent="0.2">
      <c r="A102">
        <v>0.48090558728734123</v>
      </c>
      <c r="B102">
        <f t="shared" si="11"/>
        <v>30</v>
      </c>
      <c r="C102">
        <f t="shared" si="7"/>
        <v>30</v>
      </c>
      <c r="D102" s="19">
        <f t="shared" si="8"/>
        <v>12000</v>
      </c>
      <c r="E102" s="19">
        <f t="shared" si="9"/>
        <v>10350</v>
      </c>
      <c r="F102" s="19">
        <f t="shared" si="10"/>
        <v>22350</v>
      </c>
    </row>
  </sheetData>
  <mergeCells count="1">
    <mergeCell ref="G1:H1"/>
  </mergeCells>
  <conditionalFormatting sqref="L11:L20">
    <cfRule type="cellIs" priority="2" operator="equal">
      <formula>MAX($L$11:$L$21)</formula>
    </cfRule>
  </conditionalFormatting>
  <conditionalFormatting sqref="L11:L31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simulate normal</vt:lpstr>
      <vt:lpstr>simulate normal long</vt:lpstr>
      <vt:lpstr>simulate profit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Exhibits for @Risk chapter</dc:title>
  <dc:creator>Chris Albright</dc:creator>
  <cp:lastModifiedBy>Guangzhi SHANG</cp:lastModifiedBy>
  <dcterms:created xsi:type="dcterms:W3CDTF">1997-08-23T20:09:02Z</dcterms:created>
  <dcterms:modified xsi:type="dcterms:W3CDTF">2018-07-27T18:59:27Z</dcterms:modified>
</cp:coreProperties>
</file>