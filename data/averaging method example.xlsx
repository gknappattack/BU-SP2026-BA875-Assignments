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ng\Dropbox\0Teaching\ISM5566 - Forecasting Rev Mgt Pricing\2019 Fall\3 demand unconstraining\upload\"/>
    </mc:Choice>
  </mc:AlternateContent>
  <xr:revisionPtr revIDLastSave="0" documentId="13_ncr:1_{5E0295FC-1315-4BD3-9F93-3603EBEAA2A4}" xr6:coauthVersionLast="44" xr6:coauthVersionMax="44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Problem" sheetId="1" r:id="rId1"/>
    <sheet name="AM " sheetId="8" r:id="rId2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M36" i="8" l="1"/>
  <c r="N36" i="8"/>
  <c r="AP34" i="8"/>
  <c r="AG34" i="8"/>
  <c r="AG35" i="8"/>
  <c r="AG36" i="8"/>
  <c r="AG37" i="8"/>
  <c r="AG38" i="8"/>
  <c r="AG39" i="8"/>
  <c r="AG40" i="8"/>
  <c r="AG41" i="8"/>
  <c r="AG42" i="8"/>
  <c r="AG43" i="8"/>
  <c r="AG44" i="8"/>
  <c r="AG45" i="8"/>
  <c r="AG46" i="8"/>
  <c r="AG47" i="8"/>
  <c r="AG48" i="8"/>
  <c r="AG49" i="8"/>
  <c r="AG50" i="8"/>
  <c r="AG51" i="8"/>
  <c r="AG52" i="8"/>
  <c r="AG53" i="8"/>
  <c r="AG54" i="8"/>
  <c r="AH35" i="8"/>
  <c r="AK34" i="8"/>
  <c r="AK35" i="8"/>
  <c r="AK36" i="8"/>
  <c r="AK37" i="8"/>
  <c r="AK38" i="8"/>
  <c r="AK39" i="8"/>
  <c r="AK40" i="8"/>
  <c r="AK41" i="8"/>
  <c r="AK42" i="8"/>
  <c r="AK43" i="8"/>
  <c r="AK44" i="8"/>
  <c r="AK45" i="8"/>
  <c r="AK46" i="8"/>
  <c r="AK47" i="8"/>
  <c r="AK48" i="8"/>
  <c r="AK49" i="8"/>
  <c r="AK50" i="8"/>
  <c r="AK51" i="8"/>
  <c r="AK52" i="8"/>
  <c r="AK53" i="8"/>
  <c r="AK54" i="8"/>
  <c r="AL35" i="8"/>
  <c r="AO34" i="8"/>
  <c r="AO35" i="8"/>
  <c r="AO36" i="8"/>
  <c r="AO37" i="8"/>
  <c r="AO38" i="8"/>
  <c r="AO39" i="8"/>
  <c r="AO40" i="8"/>
  <c r="AO41" i="8"/>
  <c r="AO42" i="8"/>
  <c r="AO43" i="8"/>
  <c r="AO44" i="8"/>
  <c r="AO45" i="8"/>
  <c r="AO46" i="8"/>
  <c r="AO47" i="8"/>
  <c r="AO48" i="8"/>
  <c r="AO49" i="8"/>
  <c r="AO50" i="8"/>
  <c r="AO51" i="8"/>
  <c r="AO52" i="8"/>
  <c r="AO53" i="8"/>
  <c r="AO54" i="8"/>
  <c r="AP35" i="8"/>
  <c r="AH36" i="8"/>
  <c r="AL36" i="8"/>
  <c r="AP36" i="8"/>
  <c r="AP37" i="8"/>
  <c r="AH38" i="8"/>
  <c r="AL38" i="8"/>
  <c r="AP38" i="8"/>
  <c r="AH39" i="8"/>
  <c r="AL39" i="8"/>
  <c r="AP39" i="8"/>
  <c r="AL40" i="8"/>
  <c r="AP40" i="8"/>
  <c r="AP41" i="8"/>
  <c r="AP42" i="8"/>
  <c r="AL43" i="8"/>
  <c r="AP43" i="8"/>
  <c r="AP44" i="8"/>
  <c r="AL45" i="8"/>
  <c r="AP45" i="8"/>
  <c r="AH46" i="8"/>
  <c r="AL46" i="8"/>
  <c r="AP46" i="8"/>
  <c r="AL47" i="8"/>
  <c r="AP47" i="8"/>
  <c r="AP48" i="8"/>
  <c r="AH49" i="8"/>
  <c r="AL49" i="8"/>
  <c r="AP49" i="8"/>
  <c r="AP50" i="8"/>
  <c r="AH51" i="8"/>
  <c r="AL51" i="8"/>
  <c r="AP51" i="8"/>
  <c r="AH52" i="8"/>
  <c r="AL52" i="8"/>
  <c r="AP52" i="8"/>
  <c r="AP53" i="8"/>
  <c r="AP58" i="8"/>
  <c r="AP57" i="8"/>
  <c r="AL37" i="8"/>
  <c r="AL41" i="8"/>
  <c r="AL42" i="8"/>
  <c r="AL44" i="8"/>
  <c r="AL48" i="8"/>
  <c r="AL50" i="8"/>
  <c r="AL53" i="8"/>
  <c r="AL34" i="8"/>
  <c r="AH40" i="8"/>
  <c r="AH41" i="8"/>
  <c r="AH42" i="8"/>
  <c r="AH43" i="8"/>
  <c r="AH44" i="8"/>
  <c r="AH45" i="8"/>
  <c r="AH47" i="8"/>
  <c r="AH48" i="8"/>
  <c r="AH50" i="8"/>
  <c r="AH53" i="8"/>
  <c r="AH37" i="8"/>
  <c r="AH34" i="8"/>
  <c r="V35" i="8"/>
  <c r="V36" i="8"/>
  <c r="V37" i="8"/>
  <c r="V38" i="8"/>
  <c r="V39" i="8"/>
  <c r="V40" i="8"/>
  <c r="V41" i="8"/>
  <c r="V42" i="8"/>
  <c r="V43" i="8"/>
  <c r="V44" i="8"/>
  <c r="V45" i="8"/>
  <c r="V46" i="8"/>
  <c r="V47" i="8"/>
  <c r="V48" i="8"/>
  <c r="V49" i="8"/>
  <c r="V50" i="8"/>
  <c r="V51" i="8"/>
  <c r="V52" i="8"/>
  <c r="V53" i="8"/>
  <c r="V54" i="8"/>
  <c r="V34" i="8"/>
  <c r="U34" i="8"/>
  <c r="U35" i="8"/>
  <c r="U36" i="8"/>
  <c r="U37" i="8"/>
  <c r="U38" i="8"/>
  <c r="U39" i="8"/>
  <c r="U40" i="8"/>
  <c r="U41" i="8"/>
  <c r="U42" i="8"/>
  <c r="U43" i="8"/>
  <c r="U44" i="8"/>
  <c r="U45" i="8"/>
  <c r="U46" i="8"/>
  <c r="U47" i="8"/>
  <c r="U48" i="8"/>
  <c r="U49" i="8"/>
  <c r="U50" i="8"/>
  <c r="U51" i="8"/>
  <c r="U52" i="8"/>
  <c r="U53" i="8"/>
  <c r="U5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34" i="8"/>
  <c r="Q5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4" i="8"/>
  <c r="N38" i="8"/>
  <c r="N53" i="8"/>
  <c r="N52" i="8"/>
  <c r="N51" i="8"/>
  <c r="N50" i="8"/>
  <c r="N49" i="8"/>
  <c r="N48" i="8"/>
  <c r="N47" i="8"/>
  <c r="N46" i="8"/>
  <c r="N45" i="8"/>
  <c r="N44" i="8"/>
  <c r="N43" i="8"/>
  <c r="N42" i="8"/>
  <c r="N41" i="8"/>
  <c r="N40" i="8"/>
  <c r="N39" i="8"/>
  <c r="N37" i="8"/>
  <c r="N35" i="8"/>
  <c r="N34" i="8"/>
  <c r="M34" i="8"/>
  <c r="M35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J34" i="8"/>
  <c r="J53" i="8"/>
  <c r="F53" i="8"/>
  <c r="E53" i="8"/>
  <c r="J52" i="8"/>
  <c r="F52" i="8"/>
  <c r="E52" i="8"/>
  <c r="J51" i="8"/>
  <c r="F51" i="8"/>
  <c r="E51" i="8"/>
  <c r="J50" i="8"/>
  <c r="F50" i="8"/>
  <c r="E50" i="8"/>
  <c r="J49" i="8"/>
  <c r="F49" i="8"/>
  <c r="E49" i="8"/>
  <c r="J48" i="8"/>
  <c r="F48" i="8"/>
  <c r="E48" i="8"/>
  <c r="J47" i="8"/>
  <c r="F47" i="8"/>
  <c r="E47" i="8"/>
  <c r="J46" i="8"/>
  <c r="F46" i="8"/>
  <c r="E46" i="8"/>
  <c r="J45" i="8"/>
  <c r="F45" i="8"/>
  <c r="E45" i="8"/>
  <c r="J44" i="8"/>
  <c r="F44" i="8"/>
  <c r="E44" i="8"/>
  <c r="J43" i="8"/>
  <c r="F43" i="8"/>
  <c r="E43" i="8"/>
  <c r="J42" i="8"/>
  <c r="F42" i="8"/>
  <c r="E42" i="8"/>
  <c r="J41" i="8"/>
  <c r="F41" i="8"/>
  <c r="E41" i="8"/>
  <c r="J40" i="8"/>
  <c r="F40" i="8"/>
  <c r="E40" i="8"/>
  <c r="J39" i="8"/>
  <c r="F39" i="8"/>
  <c r="E39" i="8"/>
  <c r="J38" i="8"/>
  <c r="F38" i="8"/>
  <c r="E38" i="8"/>
  <c r="J37" i="8"/>
  <c r="F37" i="8"/>
  <c r="E37" i="8"/>
  <c r="J36" i="8"/>
  <c r="F36" i="8"/>
  <c r="E36" i="8"/>
  <c r="J35" i="8"/>
  <c r="F35" i="8"/>
  <c r="E35" i="8"/>
  <c r="F34" i="8"/>
  <c r="E34" i="8"/>
  <c r="E54" i="8"/>
  <c r="AR29" i="8"/>
  <c r="AR28" i="8"/>
  <c r="AR27" i="8"/>
  <c r="AR26" i="8"/>
  <c r="AR25" i="8"/>
  <c r="AR24" i="8"/>
  <c r="AR23" i="8"/>
  <c r="AR22" i="8"/>
  <c r="AR21" i="8"/>
  <c r="AR20" i="8"/>
  <c r="AR19" i="8"/>
  <c r="AR18" i="8"/>
  <c r="AR17" i="8"/>
  <c r="AR16" i="8"/>
  <c r="AR15" i="8"/>
  <c r="AR14" i="8"/>
  <c r="AR13" i="8"/>
  <c r="AR12" i="8"/>
  <c r="AR11" i="8"/>
  <c r="AR10" i="8"/>
  <c r="AR30" i="8"/>
  <c r="AO33" i="1"/>
  <c r="AO32" i="1"/>
  <c r="AR31" i="8"/>
</calcChain>
</file>

<file path=xl/sharedStrings.xml><?xml version="1.0" encoding="utf-8"?>
<sst xmlns="http://schemas.openxmlformats.org/spreadsheetml/2006/main" count="130" uniqueCount="29">
  <si>
    <t>Average</t>
  </si>
  <si>
    <t>Std Dev</t>
  </si>
  <si>
    <t>average</t>
  </si>
  <si>
    <t>after day 37</t>
  </si>
  <si>
    <t>after day 33</t>
  </si>
  <si>
    <t>after day 29</t>
  </si>
  <si>
    <t>Calcdem</t>
  </si>
  <si>
    <t>Actual demand/ unconstrained demand (Calcdem)</t>
  </si>
  <si>
    <t>after day 24</t>
  </si>
  <si>
    <t>after day 21</t>
  </si>
  <si>
    <t>after day 17</t>
  </si>
  <si>
    <t>after day 13</t>
  </si>
  <si>
    <t>after day 9</t>
  </si>
  <si>
    <t>after day 5</t>
  </si>
  <si>
    <t>Day of arrival</t>
  </si>
  <si>
    <t>The cumulative demand seen for 20 similar nights' stay is shown in A7 - AO29.</t>
  </si>
  <si>
    <t>Demand seen</t>
  </si>
  <si>
    <t xml:space="preserve">The data in the table below gives the cumulative number of bookings for the high-price customer segment for a Thursday night stay at a hotel received 40 - 1 days before arrival.  </t>
  </si>
  <si>
    <t>The trial numbers correspond to 20 historical Thursday night stays and the protection limit for each trial was set at 25.</t>
  </si>
  <si>
    <t>Once a trial hit its protection level, no more demand data was recorded.</t>
  </si>
  <si>
    <t>Protection level =</t>
  </si>
  <si>
    <t>Book: day</t>
  </si>
  <si>
    <t>unconstrained booking rate (UBR)</t>
  </si>
  <si>
    <t>UBR</t>
  </si>
  <si>
    <t xml:space="preserve">Thursday </t>
  </si>
  <si>
    <t>Night #</t>
  </si>
  <si>
    <t>Standard Deviation</t>
  </si>
  <si>
    <t>What mean and standard deviation for this demand class would you use for calculating a new protection level?</t>
  </si>
  <si>
    <t xml:space="preserve">Constrained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</si>
</sst>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/>
    <xf numFmtId="0" fontId="0" fillId="0" borderId="0" xfId="0" applyBorder="1"/>
    <xf numFmtId="0" fontId="0" fillId="2" borderId="0" xfId="0" applyFill="1"/>
    <xf numFmtId="0" fontId="2" fillId="2" borderId="0" xfId="0" applyFont="1" applyFill="1"/>
    <xf numFmtId="0" fontId="0" fillId="0" borderId="0" xfId="0" applyFill="1"/>
    <xf numFmtId="0" fontId="2" fillId="0" borderId="0" xfId="0" applyFont="1" applyFill="1"/>
    <xf numFmtId="0" fontId="3" fillId="0" borderId="0" xfId="0" applyFont="1"/>
    <xf numFmtId="2" fontId="0" fillId="2" borderId="0" xfId="0" applyNumberFormat="1" applyFill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3" fillId="0" borderId="3" xfId="0" applyFont="1" applyBorder="1" applyAlignment="1">
      <alignment wrapText="1"/>
    </xf>
    <xf numFmtId="0" fontId="1" fillId="0" borderId="3" xfId="0" applyFont="1" applyFill="1" applyBorder="1" applyAlignment="1">
      <alignment horizontal="center" wrapText="1"/>
    </xf>
    <xf numFmtId="0" fontId="1" fillId="0" borderId="0" xfId="0" applyFont="1" applyFill="1"/>
    <xf numFmtId="0" fontId="1" fillId="2" borderId="0" xfId="0" applyFont="1" applyFill="1"/>
    <xf numFmtId="0" fontId="0" fillId="0" borderId="0" xfId="0" applyAlignment="1">
      <alignment wrapText="1"/>
    </xf>
    <xf numFmtId="0" fontId="4" fillId="0" borderId="0" xfId="0" applyFont="1" applyFill="1" applyBorder="1" applyAlignment="1">
      <alignment horizontal="center"/>
    </xf>
    <xf numFmtId="2" fontId="0" fillId="0" borderId="0" xfId="0" applyNumberFormat="1" applyFill="1"/>
    <xf numFmtId="0" fontId="1" fillId="0" borderId="0" xfId="0" applyFont="1"/>
    <xf numFmtId="0" fontId="4" fillId="0" borderId="0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371475</xdr:colOff>
      <xdr:row>29</xdr:row>
      <xdr:rowOff>9525</xdr:rowOff>
    </xdr:from>
    <xdr:to>
      <xdr:col>48</xdr:col>
      <xdr:colOff>419100</xdr:colOff>
      <xdr:row>31</xdr:row>
      <xdr:rowOff>152400</xdr:rowOff>
    </xdr:to>
    <xdr:sp macro="" textlink="">
      <xdr:nvSpPr>
        <xdr:cNvPr id="4" name="Text Box 8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>
          <a:spLocks noChangeArrowheads="1"/>
        </xdr:cNvSpPr>
      </xdr:nvSpPr>
      <xdr:spPr bwMode="auto">
        <a:xfrm>
          <a:off x="28822650" y="4705350"/>
          <a:ext cx="1876425" cy="4667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Demand average and standard deviation without unconstraining</a:t>
          </a:r>
        </a:p>
      </xdr:txBody>
    </xdr:sp>
    <xdr:clientData/>
  </xdr:twoCellAnchor>
  <xdr:twoCellAnchor>
    <xdr:from>
      <xdr:col>44</xdr:col>
      <xdr:colOff>9525</xdr:colOff>
      <xdr:row>30</xdr:row>
      <xdr:rowOff>9525</xdr:rowOff>
    </xdr:from>
    <xdr:to>
      <xdr:col>45</xdr:col>
      <xdr:colOff>352425</xdr:colOff>
      <xdr:row>30</xdr:row>
      <xdr:rowOff>57150</xdr:rowOff>
    </xdr:to>
    <xdr:sp macro="" textlink="">
      <xdr:nvSpPr>
        <xdr:cNvPr id="2054" name="Line 9">
          <a:extLst>
            <a:ext uri="{FF2B5EF4-FFF2-40B4-BE49-F238E27FC236}">
              <a16:creationId xmlns:a16="http://schemas.microsoft.com/office/drawing/2014/main" id="{00000000-0008-0000-0200-000006080000}"/>
            </a:ext>
          </a:extLst>
        </xdr:cNvPr>
        <xdr:cNvSpPr>
          <a:spLocks noChangeShapeType="1"/>
        </xdr:cNvSpPr>
      </xdr:nvSpPr>
      <xdr:spPr bwMode="auto">
        <a:xfrm flipH="1">
          <a:off x="27851100" y="4867275"/>
          <a:ext cx="952500" cy="47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238125</xdr:colOff>
      <xdr:row>35</xdr:row>
      <xdr:rowOff>114300</xdr:rowOff>
    </xdr:from>
    <xdr:to>
      <xdr:col>17</xdr:col>
      <xdr:colOff>285750</xdr:colOff>
      <xdr:row>41</xdr:row>
      <xdr:rowOff>9525</xdr:rowOff>
    </xdr:to>
    <xdr:sp macro="" textlink="">
      <xdr:nvSpPr>
        <xdr:cNvPr id="5" name="Text Box 8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>
          <a:spLocks noChangeArrowheads="1"/>
        </xdr:cNvSpPr>
      </xdr:nvSpPr>
      <xdr:spPr bwMode="auto">
        <a:xfrm>
          <a:off x="9791700" y="6381750"/>
          <a:ext cx="1876425" cy="86677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Fill in formula for averaging method by</a:t>
          </a:r>
          <a:r>
            <a:rPr lang="en-US" sz="1000" b="0" i="0" strike="noStrike" baseline="0">
              <a:solidFill>
                <a:srgbClr val="000000"/>
              </a:solidFill>
              <a:latin typeface="Arial"/>
              <a:cs typeface="Arial"/>
            </a:rPr>
            <a:t> comparing demand after day 29 to demand at day 33</a:t>
          </a:r>
        </a:p>
        <a:p>
          <a:pPr algn="l" rtl="0">
            <a:defRPr sz="1000"/>
          </a:pPr>
          <a:r>
            <a:rPr lang="en-US" sz="1000" b="0" i="0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en-US" sz="1000" b="0" i="0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14</xdr:col>
      <xdr:colOff>9524</xdr:colOff>
      <xdr:row>35</xdr:row>
      <xdr:rowOff>0</xdr:rowOff>
    </xdr:from>
    <xdr:to>
      <xdr:col>14</xdr:col>
      <xdr:colOff>342899</xdr:colOff>
      <xdr:row>35</xdr:row>
      <xdr:rowOff>28575</xdr:rowOff>
    </xdr:to>
    <xdr:sp macro="" textlink="">
      <xdr:nvSpPr>
        <xdr:cNvPr id="6" name="Line 9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ShapeType="1"/>
        </xdr:cNvSpPr>
      </xdr:nvSpPr>
      <xdr:spPr bwMode="auto">
        <a:xfrm flipH="1">
          <a:off x="9563099" y="6267450"/>
          <a:ext cx="333375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352425</xdr:colOff>
      <xdr:row>42</xdr:row>
      <xdr:rowOff>38100</xdr:rowOff>
    </xdr:from>
    <xdr:to>
      <xdr:col>18</xdr:col>
      <xdr:colOff>400050</xdr:colOff>
      <xdr:row>49</xdr:row>
      <xdr:rowOff>104775</xdr:rowOff>
    </xdr:to>
    <xdr:sp macro="" textlink="">
      <xdr:nvSpPr>
        <xdr:cNvPr id="7" name="Text Box 8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>
          <a:spLocks noChangeArrowheads="1"/>
        </xdr:cNvSpPr>
      </xdr:nvSpPr>
      <xdr:spPr bwMode="auto">
        <a:xfrm>
          <a:off x="10515600" y="7439025"/>
          <a:ext cx="1876425" cy="12001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Fill in formulas for each of the demand snapshots noted in excel (after day 29,</a:t>
          </a:r>
          <a:r>
            <a:rPr lang="en-US" sz="1000" b="0" i="0" strike="noStrike" baseline="0">
              <a:solidFill>
                <a:srgbClr val="000000"/>
              </a:solidFill>
              <a:latin typeface="Arial"/>
              <a:cs typeface="Arial"/>
            </a:rPr>
            <a:t> after day 24, etc.) Note: your formulas will differ slightly from the initialization formulas used for day 37, 33.</a:t>
          </a:r>
        </a:p>
        <a:p>
          <a:pPr algn="l" rtl="0">
            <a:defRPr sz="1000"/>
          </a:pPr>
          <a:endParaRPr lang="en-US" sz="1000" b="0" i="0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13</xdr:col>
      <xdr:colOff>600075</xdr:colOff>
      <xdr:row>43</xdr:row>
      <xdr:rowOff>38100</xdr:rowOff>
    </xdr:from>
    <xdr:to>
      <xdr:col>15</xdr:col>
      <xdr:colOff>333375</xdr:colOff>
      <xdr:row>43</xdr:row>
      <xdr:rowOff>126546</xdr:rowOff>
    </xdr:to>
    <xdr:sp macro="" textlink="">
      <xdr:nvSpPr>
        <xdr:cNvPr id="8" name="Line 9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ShapeType="1"/>
        </xdr:cNvSpPr>
      </xdr:nvSpPr>
      <xdr:spPr bwMode="auto">
        <a:xfrm flipH="1">
          <a:off x="9544050" y="7600950"/>
          <a:ext cx="952500" cy="8844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AR33"/>
  <sheetViews>
    <sheetView topLeftCell="A6" workbookViewId="0">
      <selection activeCell="AP30" sqref="AP30"/>
    </sheetView>
  </sheetViews>
  <sheetFormatPr defaultRowHeight="13.2" x14ac:dyDescent="0.25"/>
  <cols>
    <col min="2" max="33" width="9.21875" customWidth="1"/>
  </cols>
  <sheetData>
    <row r="1" spans="1:42" x14ac:dyDescent="0.25">
      <c r="B1" s="7" t="s">
        <v>17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42" x14ac:dyDescent="0.25">
      <c r="B2" s="18" t="s">
        <v>18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1:42" x14ac:dyDescent="0.25">
      <c r="B3" s="7" t="s">
        <v>19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42" x14ac:dyDescent="0.25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42" x14ac:dyDescent="0.25">
      <c r="B5" s="8" t="s">
        <v>27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7" spans="1:42" x14ac:dyDescent="0.25">
      <c r="A7" s="1" t="s">
        <v>24</v>
      </c>
      <c r="B7" t="s">
        <v>21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s">
        <v>21</v>
      </c>
      <c r="R7" t="s">
        <v>21</v>
      </c>
      <c r="S7" t="s">
        <v>21</v>
      </c>
      <c r="T7" t="s">
        <v>21</v>
      </c>
      <c r="U7" t="s">
        <v>21</v>
      </c>
      <c r="V7" t="s">
        <v>21</v>
      </c>
      <c r="W7" t="s">
        <v>21</v>
      </c>
      <c r="X7" t="s">
        <v>21</v>
      </c>
      <c r="Y7" t="s">
        <v>21</v>
      </c>
      <c r="Z7" t="s">
        <v>21</v>
      </c>
      <c r="AA7" t="s">
        <v>21</v>
      </c>
      <c r="AB7" t="s">
        <v>21</v>
      </c>
      <c r="AC7" t="s">
        <v>21</v>
      </c>
      <c r="AD7" t="s">
        <v>21</v>
      </c>
      <c r="AE7" t="s">
        <v>21</v>
      </c>
      <c r="AF7" t="s">
        <v>21</v>
      </c>
      <c r="AG7" t="s">
        <v>21</v>
      </c>
      <c r="AH7" t="s">
        <v>21</v>
      </c>
      <c r="AI7" t="s">
        <v>21</v>
      </c>
      <c r="AJ7" t="s">
        <v>21</v>
      </c>
      <c r="AK7" t="s">
        <v>21</v>
      </c>
      <c r="AL7" t="s">
        <v>21</v>
      </c>
      <c r="AM7" t="s">
        <v>21</v>
      </c>
      <c r="AN7" t="s">
        <v>21</v>
      </c>
      <c r="AO7" t="s">
        <v>21</v>
      </c>
    </row>
    <row r="8" spans="1:42" x14ac:dyDescent="0.25">
      <c r="A8" s="2" t="s">
        <v>25</v>
      </c>
      <c r="B8" s="3">
        <v>40</v>
      </c>
      <c r="C8" s="3">
        <v>39</v>
      </c>
      <c r="D8" s="3">
        <v>38</v>
      </c>
      <c r="E8" s="3">
        <v>37</v>
      </c>
      <c r="F8" s="3">
        <v>36</v>
      </c>
      <c r="G8" s="3">
        <v>35</v>
      </c>
      <c r="H8" s="3">
        <v>34</v>
      </c>
      <c r="I8" s="3">
        <v>33</v>
      </c>
      <c r="J8" s="3">
        <v>32</v>
      </c>
      <c r="K8" s="3">
        <v>31</v>
      </c>
      <c r="L8" s="3">
        <v>30</v>
      </c>
      <c r="M8" s="3">
        <v>29</v>
      </c>
      <c r="N8" s="3">
        <v>28</v>
      </c>
      <c r="O8" s="3">
        <v>27</v>
      </c>
      <c r="P8" s="3">
        <v>26</v>
      </c>
      <c r="Q8" s="3">
        <v>25</v>
      </c>
      <c r="R8" s="3">
        <v>24</v>
      </c>
      <c r="S8" s="3">
        <v>23</v>
      </c>
      <c r="T8" s="3">
        <v>22</v>
      </c>
      <c r="U8" s="3">
        <v>21</v>
      </c>
      <c r="V8" s="3">
        <v>20</v>
      </c>
      <c r="W8" s="3">
        <v>19</v>
      </c>
      <c r="X8" s="3">
        <v>18</v>
      </c>
      <c r="Y8" s="3">
        <v>17</v>
      </c>
      <c r="Z8" s="3">
        <v>16</v>
      </c>
      <c r="AA8" s="3">
        <v>15</v>
      </c>
      <c r="AB8" s="3">
        <v>14</v>
      </c>
      <c r="AC8" s="3">
        <v>13</v>
      </c>
      <c r="AD8" s="3">
        <v>12</v>
      </c>
      <c r="AE8" s="3">
        <v>11</v>
      </c>
      <c r="AF8" s="3">
        <v>10</v>
      </c>
      <c r="AG8" s="3">
        <v>9</v>
      </c>
      <c r="AH8" s="3">
        <v>8</v>
      </c>
      <c r="AI8" s="3">
        <v>7</v>
      </c>
      <c r="AJ8" s="3">
        <v>6</v>
      </c>
      <c r="AK8" s="3">
        <v>5</v>
      </c>
      <c r="AL8" s="3">
        <v>4</v>
      </c>
      <c r="AM8" s="3">
        <v>3</v>
      </c>
      <c r="AN8" s="3">
        <v>2</v>
      </c>
      <c r="AO8" s="3">
        <v>1</v>
      </c>
      <c r="AP8" s="6"/>
    </row>
    <row r="10" spans="1:42" x14ac:dyDescent="0.25">
      <c r="A10" s="1">
        <v>1</v>
      </c>
      <c r="B10">
        <v>0</v>
      </c>
      <c r="C10">
        <v>0</v>
      </c>
      <c r="D10">
        <v>0</v>
      </c>
      <c r="E10">
        <v>1</v>
      </c>
      <c r="F10">
        <v>1</v>
      </c>
      <c r="G10">
        <v>1</v>
      </c>
      <c r="H10">
        <v>1</v>
      </c>
      <c r="I10">
        <v>1</v>
      </c>
      <c r="J10">
        <v>2</v>
      </c>
      <c r="K10">
        <v>2</v>
      </c>
      <c r="L10">
        <v>2</v>
      </c>
      <c r="M10">
        <v>3</v>
      </c>
      <c r="N10">
        <v>4</v>
      </c>
      <c r="O10">
        <v>4</v>
      </c>
      <c r="P10">
        <v>4</v>
      </c>
      <c r="Q10">
        <v>4</v>
      </c>
      <c r="R10">
        <v>4</v>
      </c>
      <c r="S10">
        <v>5</v>
      </c>
      <c r="T10">
        <v>6</v>
      </c>
      <c r="U10">
        <v>7</v>
      </c>
      <c r="V10">
        <v>8</v>
      </c>
      <c r="W10">
        <v>9</v>
      </c>
      <c r="X10">
        <v>12</v>
      </c>
      <c r="Y10">
        <v>13</v>
      </c>
      <c r="Z10">
        <v>13</v>
      </c>
      <c r="AA10">
        <v>13</v>
      </c>
      <c r="AB10">
        <v>14</v>
      </c>
      <c r="AC10">
        <v>14</v>
      </c>
      <c r="AD10">
        <v>15</v>
      </c>
      <c r="AE10">
        <v>16</v>
      </c>
      <c r="AF10">
        <v>16</v>
      </c>
      <c r="AG10">
        <v>16</v>
      </c>
      <c r="AH10">
        <v>18</v>
      </c>
      <c r="AI10">
        <v>18</v>
      </c>
      <c r="AJ10">
        <v>18</v>
      </c>
      <c r="AK10">
        <v>19</v>
      </c>
      <c r="AL10">
        <v>20</v>
      </c>
      <c r="AM10">
        <v>20</v>
      </c>
      <c r="AN10">
        <v>21</v>
      </c>
      <c r="AO10">
        <v>23</v>
      </c>
    </row>
    <row r="11" spans="1:42" x14ac:dyDescent="0.25">
      <c r="A11" s="1">
        <v>2</v>
      </c>
      <c r="B11">
        <v>0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3</v>
      </c>
      <c r="L11">
        <v>3</v>
      </c>
      <c r="M11">
        <v>4</v>
      </c>
      <c r="N11">
        <v>4</v>
      </c>
      <c r="O11">
        <v>7</v>
      </c>
      <c r="P11">
        <v>12</v>
      </c>
      <c r="Q11">
        <v>13</v>
      </c>
      <c r="R11">
        <v>14</v>
      </c>
      <c r="S11">
        <v>14</v>
      </c>
      <c r="T11">
        <v>14</v>
      </c>
      <c r="U11">
        <v>16</v>
      </c>
      <c r="V11">
        <v>17</v>
      </c>
      <c r="W11">
        <v>18</v>
      </c>
      <c r="X11">
        <v>18</v>
      </c>
      <c r="Y11">
        <v>20</v>
      </c>
      <c r="Z11">
        <v>20</v>
      </c>
      <c r="AA11">
        <v>20</v>
      </c>
      <c r="AB11">
        <v>21</v>
      </c>
      <c r="AC11">
        <v>23</v>
      </c>
      <c r="AD11">
        <v>24</v>
      </c>
      <c r="AE11">
        <v>24</v>
      </c>
      <c r="AF11">
        <v>25</v>
      </c>
      <c r="AG11">
        <v>25</v>
      </c>
      <c r="AH11">
        <v>25</v>
      </c>
      <c r="AI11">
        <v>25</v>
      </c>
      <c r="AJ11">
        <v>25</v>
      </c>
      <c r="AK11">
        <v>25</v>
      </c>
      <c r="AL11">
        <v>25</v>
      </c>
      <c r="AM11">
        <v>25</v>
      </c>
      <c r="AN11">
        <v>25</v>
      </c>
      <c r="AO11">
        <v>25</v>
      </c>
    </row>
    <row r="12" spans="1:42" x14ac:dyDescent="0.25">
      <c r="A12" s="1">
        <v>3</v>
      </c>
      <c r="B12">
        <v>1</v>
      </c>
      <c r="C12">
        <v>1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3</v>
      </c>
      <c r="K12">
        <v>3</v>
      </c>
      <c r="L12">
        <v>3</v>
      </c>
      <c r="M12">
        <v>4</v>
      </c>
      <c r="N12">
        <v>5</v>
      </c>
      <c r="O12">
        <v>5</v>
      </c>
      <c r="P12">
        <v>5</v>
      </c>
      <c r="Q12">
        <v>7</v>
      </c>
      <c r="R12">
        <v>7</v>
      </c>
      <c r="S12">
        <v>7</v>
      </c>
      <c r="T12">
        <v>10</v>
      </c>
      <c r="U12">
        <v>10</v>
      </c>
      <c r="V12">
        <v>12</v>
      </c>
      <c r="W12">
        <v>13</v>
      </c>
      <c r="X12">
        <v>14</v>
      </c>
      <c r="Y12">
        <v>16</v>
      </c>
      <c r="Z12">
        <v>16</v>
      </c>
      <c r="AA12">
        <v>18</v>
      </c>
      <c r="AB12">
        <v>18</v>
      </c>
      <c r="AC12">
        <v>18</v>
      </c>
      <c r="AD12">
        <v>20</v>
      </c>
      <c r="AE12">
        <v>20</v>
      </c>
      <c r="AF12">
        <v>22</v>
      </c>
      <c r="AG12">
        <v>25</v>
      </c>
      <c r="AH12">
        <v>25</v>
      </c>
      <c r="AI12">
        <v>25</v>
      </c>
      <c r="AJ12">
        <v>25</v>
      </c>
      <c r="AK12">
        <v>25</v>
      </c>
      <c r="AL12">
        <v>25</v>
      </c>
      <c r="AM12">
        <v>25</v>
      </c>
      <c r="AN12">
        <v>25</v>
      </c>
      <c r="AO12">
        <v>25</v>
      </c>
    </row>
    <row r="13" spans="1:42" x14ac:dyDescent="0.25">
      <c r="A13" s="1">
        <v>4</v>
      </c>
      <c r="B13">
        <v>0</v>
      </c>
      <c r="C13">
        <v>0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2</v>
      </c>
      <c r="L13">
        <v>4</v>
      </c>
      <c r="M13">
        <v>5</v>
      </c>
      <c r="N13">
        <v>5</v>
      </c>
      <c r="O13">
        <v>5</v>
      </c>
      <c r="P13">
        <v>6</v>
      </c>
      <c r="Q13">
        <v>7</v>
      </c>
      <c r="R13">
        <v>7</v>
      </c>
      <c r="S13">
        <v>8</v>
      </c>
      <c r="T13">
        <v>8</v>
      </c>
      <c r="U13">
        <v>8</v>
      </c>
      <c r="V13">
        <v>8</v>
      </c>
      <c r="W13">
        <v>8</v>
      </c>
      <c r="X13">
        <v>9</v>
      </c>
      <c r="Y13">
        <v>9</v>
      </c>
      <c r="Z13">
        <v>9</v>
      </c>
      <c r="AA13">
        <v>9</v>
      </c>
      <c r="AB13">
        <v>10</v>
      </c>
      <c r="AC13">
        <v>10</v>
      </c>
      <c r="AD13">
        <v>11</v>
      </c>
      <c r="AE13">
        <v>11</v>
      </c>
      <c r="AF13">
        <v>11</v>
      </c>
      <c r="AG13">
        <v>11</v>
      </c>
      <c r="AH13">
        <v>13</v>
      </c>
      <c r="AI13">
        <v>14</v>
      </c>
      <c r="AJ13">
        <v>14</v>
      </c>
      <c r="AK13">
        <v>14</v>
      </c>
      <c r="AL13">
        <v>14</v>
      </c>
      <c r="AM13">
        <v>15</v>
      </c>
      <c r="AN13">
        <v>15</v>
      </c>
      <c r="AO13">
        <v>16</v>
      </c>
    </row>
    <row r="14" spans="1:42" x14ac:dyDescent="0.25">
      <c r="A14" s="1">
        <v>5</v>
      </c>
      <c r="B14">
        <v>0</v>
      </c>
      <c r="C14">
        <v>1</v>
      </c>
      <c r="D14">
        <v>3</v>
      </c>
      <c r="E14">
        <v>4</v>
      </c>
      <c r="F14">
        <v>6</v>
      </c>
      <c r="G14">
        <v>7</v>
      </c>
      <c r="H14">
        <v>9</v>
      </c>
      <c r="I14">
        <v>9</v>
      </c>
      <c r="J14">
        <v>11</v>
      </c>
      <c r="K14">
        <v>12</v>
      </c>
      <c r="L14">
        <v>12</v>
      </c>
      <c r="M14">
        <v>12</v>
      </c>
      <c r="N14">
        <v>12</v>
      </c>
      <c r="O14">
        <v>12</v>
      </c>
      <c r="P14">
        <v>13</v>
      </c>
      <c r="Q14">
        <v>13</v>
      </c>
      <c r="R14">
        <v>14</v>
      </c>
      <c r="S14">
        <v>14</v>
      </c>
      <c r="T14">
        <v>15</v>
      </c>
      <c r="U14">
        <v>15</v>
      </c>
      <c r="V14">
        <v>16</v>
      </c>
      <c r="W14">
        <v>16</v>
      </c>
      <c r="X14">
        <v>17</v>
      </c>
      <c r="Y14">
        <v>19</v>
      </c>
      <c r="Z14">
        <v>20</v>
      </c>
      <c r="AA14">
        <v>20</v>
      </c>
      <c r="AB14">
        <v>21</v>
      </c>
      <c r="AC14">
        <v>21</v>
      </c>
      <c r="AD14">
        <v>21</v>
      </c>
      <c r="AE14">
        <v>23</v>
      </c>
      <c r="AF14">
        <v>24</v>
      </c>
      <c r="AG14">
        <v>24</v>
      </c>
      <c r="AH14">
        <v>25</v>
      </c>
      <c r="AI14">
        <v>25</v>
      </c>
      <c r="AJ14">
        <v>25</v>
      </c>
      <c r="AK14">
        <v>25</v>
      </c>
      <c r="AL14">
        <v>25</v>
      </c>
      <c r="AM14">
        <v>25</v>
      </c>
      <c r="AN14">
        <v>25</v>
      </c>
      <c r="AO14">
        <v>25</v>
      </c>
    </row>
    <row r="15" spans="1:42" x14ac:dyDescent="0.25">
      <c r="A15" s="1">
        <v>6</v>
      </c>
      <c r="B15">
        <v>0</v>
      </c>
      <c r="C15">
        <v>2</v>
      </c>
      <c r="D15">
        <v>4</v>
      </c>
      <c r="E15">
        <v>5</v>
      </c>
      <c r="F15">
        <v>5</v>
      </c>
      <c r="G15">
        <v>5</v>
      </c>
      <c r="H15">
        <v>5</v>
      </c>
      <c r="I15">
        <v>7</v>
      </c>
      <c r="J15">
        <v>7</v>
      </c>
      <c r="K15">
        <v>7</v>
      </c>
      <c r="L15">
        <v>9</v>
      </c>
      <c r="M15">
        <v>9</v>
      </c>
      <c r="N15">
        <v>9</v>
      </c>
      <c r="O15">
        <v>9</v>
      </c>
      <c r="P15">
        <v>10</v>
      </c>
      <c r="Q15">
        <v>10</v>
      </c>
      <c r="R15">
        <v>10</v>
      </c>
      <c r="S15">
        <v>11</v>
      </c>
      <c r="T15">
        <v>11</v>
      </c>
      <c r="U15">
        <v>11</v>
      </c>
      <c r="V15">
        <v>13</v>
      </c>
      <c r="W15">
        <v>14</v>
      </c>
      <c r="X15">
        <v>16</v>
      </c>
      <c r="Y15">
        <v>16</v>
      </c>
      <c r="Z15">
        <v>18</v>
      </c>
      <c r="AA15">
        <v>19</v>
      </c>
      <c r="AB15">
        <v>20</v>
      </c>
      <c r="AC15">
        <v>20</v>
      </c>
      <c r="AD15">
        <v>21</v>
      </c>
      <c r="AE15">
        <v>21</v>
      </c>
      <c r="AF15">
        <v>21</v>
      </c>
      <c r="AG15">
        <v>21</v>
      </c>
      <c r="AH15">
        <v>23</v>
      </c>
      <c r="AI15">
        <v>24</v>
      </c>
      <c r="AJ15">
        <v>25</v>
      </c>
      <c r="AK15">
        <v>25</v>
      </c>
      <c r="AL15">
        <v>25</v>
      </c>
      <c r="AM15">
        <v>25</v>
      </c>
      <c r="AN15">
        <v>25</v>
      </c>
      <c r="AO15">
        <v>25</v>
      </c>
    </row>
    <row r="16" spans="1:42" x14ac:dyDescent="0.25">
      <c r="A16" s="1">
        <v>7</v>
      </c>
      <c r="B16">
        <v>0</v>
      </c>
      <c r="C16">
        <v>0</v>
      </c>
      <c r="D16">
        <v>1</v>
      </c>
      <c r="E16">
        <v>2</v>
      </c>
      <c r="F16">
        <v>2</v>
      </c>
      <c r="G16">
        <v>3</v>
      </c>
      <c r="H16">
        <v>3</v>
      </c>
      <c r="I16">
        <v>3</v>
      </c>
      <c r="J16">
        <v>4</v>
      </c>
      <c r="K16">
        <v>5</v>
      </c>
      <c r="L16">
        <v>6</v>
      </c>
      <c r="M16">
        <v>8</v>
      </c>
      <c r="N16">
        <v>9</v>
      </c>
      <c r="O16">
        <v>9</v>
      </c>
      <c r="P16">
        <v>10</v>
      </c>
      <c r="Q16">
        <v>10</v>
      </c>
      <c r="R16">
        <v>11</v>
      </c>
      <c r="S16">
        <v>12</v>
      </c>
      <c r="T16">
        <v>13</v>
      </c>
      <c r="U16">
        <v>14</v>
      </c>
      <c r="V16">
        <v>14</v>
      </c>
      <c r="W16">
        <v>14</v>
      </c>
      <c r="X16">
        <v>14</v>
      </c>
      <c r="Y16">
        <v>14</v>
      </c>
      <c r="Z16">
        <v>14</v>
      </c>
      <c r="AA16">
        <v>14</v>
      </c>
      <c r="AB16">
        <v>15</v>
      </c>
      <c r="AC16">
        <v>16</v>
      </c>
      <c r="AD16">
        <v>16</v>
      </c>
      <c r="AE16">
        <v>18</v>
      </c>
      <c r="AF16">
        <v>18</v>
      </c>
      <c r="AG16">
        <v>18</v>
      </c>
      <c r="AH16">
        <v>19</v>
      </c>
      <c r="AI16">
        <v>21</v>
      </c>
      <c r="AJ16">
        <v>23</v>
      </c>
      <c r="AK16">
        <v>23</v>
      </c>
      <c r="AL16">
        <v>23</v>
      </c>
      <c r="AM16">
        <v>24</v>
      </c>
      <c r="AN16">
        <v>24</v>
      </c>
      <c r="AO16">
        <v>25</v>
      </c>
    </row>
    <row r="17" spans="1:44" x14ac:dyDescent="0.25">
      <c r="A17" s="1">
        <v>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3</v>
      </c>
      <c r="L17">
        <v>3</v>
      </c>
      <c r="M17">
        <v>4</v>
      </c>
      <c r="N17">
        <v>5</v>
      </c>
      <c r="O17">
        <v>6</v>
      </c>
      <c r="P17">
        <v>6</v>
      </c>
      <c r="Q17">
        <v>6</v>
      </c>
      <c r="R17">
        <v>6</v>
      </c>
      <c r="S17">
        <v>6</v>
      </c>
      <c r="T17">
        <v>6</v>
      </c>
      <c r="U17">
        <v>7</v>
      </c>
      <c r="V17">
        <v>7</v>
      </c>
      <c r="W17">
        <v>7</v>
      </c>
      <c r="X17">
        <v>9</v>
      </c>
      <c r="Y17">
        <v>9</v>
      </c>
      <c r="Z17">
        <v>9</v>
      </c>
      <c r="AA17">
        <v>11</v>
      </c>
      <c r="AB17">
        <v>12</v>
      </c>
      <c r="AC17">
        <v>12</v>
      </c>
      <c r="AD17">
        <v>12</v>
      </c>
      <c r="AE17">
        <v>12</v>
      </c>
      <c r="AF17">
        <v>13</v>
      </c>
      <c r="AG17">
        <v>14</v>
      </c>
      <c r="AH17">
        <v>15</v>
      </c>
      <c r="AI17">
        <v>15</v>
      </c>
      <c r="AJ17">
        <v>17</v>
      </c>
      <c r="AK17">
        <v>17</v>
      </c>
      <c r="AL17">
        <v>18</v>
      </c>
      <c r="AM17">
        <v>19</v>
      </c>
      <c r="AN17">
        <v>19</v>
      </c>
      <c r="AO17">
        <v>19</v>
      </c>
    </row>
    <row r="18" spans="1:44" x14ac:dyDescent="0.25">
      <c r="A18" s="1">
        <v>9</v>
      </c>
      <c r="B18">
        <v>0</v>
      </c>
      <c r="C18">
        <v>0</v>
      </c>
      <c r="D18">
        <v>0</v>
      </c>
      <c r="E18">
        <v>0</v>
      </c>
      <c r="F18">
        <v>1</v>
      </c>
      <c r="G18">
        <v>2</v>
      </c>
      <c r="H18">
        <v>3</v>
      </c>
      <c r="I18">
        <v>4</v>
      </c>
      <c r="J18">
        <v>5</v>
      </c>
      <c r="K18">
        <v>5</v>
      </c>
      <c r="L18">
        <v>5</v>
      </c>
      <c r="M18">
        <v>5</v>
      </c>
      <c r="N18">
        <v>6</v>
      </c>
      <c r="O18">
        <v>6</v>
      </c>
      <c r="P18">
        <v>6</v>
      </c>
      <c r="Q18">
        <v>6</v>
      </c>
      <c r="R18">
        <v>7</v>
      </c>
      <c r="S18">
        <v>7</v>
      </c>
      <c r="T18">
        <v>7</v>
      </c>
      <c r="U18">
        <v>7</v>
      </c>
      <c r="V18">
        <v>7</v>
      </c>
      <c r="W18">
        <v>7</v>
      </c>
      <c r="X18">
        <v>7</v>
      </c>
      <c r="Y18">
        <v>8</v>
      </c>
      <c r="Z18">
        <v>8</v>
      </c>
      <c r="AA18">
        <v>8</v>
      </c>
      <c r="AB18">
        <v>9</v>
      </c>
      <c r="AC18">
        <v>10</v>
      </c>
      <c r="AD18">
        <v>12</v>
      </c>
      <c r="AE18">
        <v>13</v>
      </c>
      <c r="AF18">
        <v>13</v>
      </c>
      <c r="AG18">
        <v>13</v>
      </c>
      <c r="AH18">
        <v>15</v>
      </c>
      <c r="AI18">
        <v>15</v>
      </c>
      <c r="AJ18">
        <v>16</v>
      </c>
      <c r="AK18">
        <v>16</v>
      </c>
      <c r="AL18">
        <v>16</v>
      </c>
      <c r="AM18">
        <v>18</v>
      </c>
      <c r="AN18">
        <v>20</v>
      </c>
      <c r="AO18">
        <v>20</v>
      </c>
    </row>
    <row r="19" spans="1:44" x14ac:dyDescent="0.25">
      <c r="A19" s="1">
        <v>10</v>
      </c>
      <c r="B19">
        <v>0</v>
      </c>
      <c r="C19">
        <v>2</v>
      </c>
      <c r="D19">
        <v>3</v>
      </c>
      <c r="E19">
        <v>3</v>
      </c>
      <c r="F19">
        <v>3</v>
      </c>
      <c r="G19">
        <v>3</v>
      </c>
      <c r="H19">
        <v>3</v>
      </c>
      <c r="I19">
        <v>3</v>
      </c>
      <c r="J19">
        <v>3</v>
      </c>
      <c r="K19">
        <v>3</v>
      </c>
      <c r="L19">
        <v>4</v>
      </c>
      <c r="M19">
        <v>5</v>
      </c>
      <c r="N19">
        <v>6</v>
      </c>
      <c r="O19">
        <v>8</v>
      </c>
      <c r="P19">
        <v>8</v>
      </c>
      <c r="Q19">
        <v>8</v>
      </c>
      <c r="R19">
        <v>10</v>
      </c>
      <c r="S19">
        <v>10</v>
      </c>
      <c r="T19">
        <v>10</v>
      </c>
      <c r="U19">
        <v>10</v>
      </c>
      <c r="V19">
        <v>10</v>
      </c>
      <c r="W19">
        <v>11</v>
      </c>
      <c r="X19">
        <v>14</v>
      </c>
      <c r="Y19">
        <v>14</v>
      </c>
      <c r="Z19">
        <v>14</v>
      </c>
      <c r="AA19">
        <v>14</v>
      </c>
      <c r="AB19">
        <v>14</v>
      </c>
      <c r="AC19">
        <v>15</v>
      </c>
      <c r="AD19">
        <v>16</v>
      </c>
      <c r="AE19">
        <v>16</v>
      </c>
      <c r="AF19">
        <v>17</v>
      </c>
      <c r="AG19">
        <v>17</v>
      </c>
      <c r="AH19">
        <v>17</v>
      </c>
      <c r="AI19">
        <v>17</v>
      </c>
      <c r="AJ19">
        <v>17</v>
      </c>
      <c r="AK19">
        <v>21</v>
      </c>
      <c r="AL19">
        <v>22</v>
      </c>
      <c r="AM19">
        <v>23</v>
      </c>
      <c r="AN19">
        <v>24</v>
      </c>
      <c r="AO19">
        <v>25</v>
      </c>
    </row>
    <row r="20" spans="1:44" x14ac:dyDescent="0.25">
      <c r="A20" s="1">
        <v>11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3</v>
      </c>
      <c r="K20">
        <v>4</v>
      </c>
      <c r="L20">
        <v>4</v>
      </c>
      <c r="M20">
        <v>4</v>
      </c>
      <c r="N20">
        <v>4</v>
      </c>
      <c r="O20">
        <v>4</v>
      </c>
      <c r="P20">
        <v>4</v>
      </c>
      <c r="Q20">
        <v>5</v>
      </c>
      <c r="R20">
        <v>5</v>
      </c>
      <c r="S20">
        <v>6</v>
      </c>
      <c r="T20">
        <v>7</v>
      </c>
      <c r="U20">
        <v>7</v>
      </c>
      <c r="V20">
        <v>7</v>
      </c>
      <c r="W20">
        <v>9</v>
      </c>
      <c r="X20">
        <v>10</v>
      </c>
      <c r="Y20">
        <v>11</v>
      </c>
      <c r="Z20">
        <v>11</v>
      </c>
      <c r="AA20">
        <v>11</v>
      </c>
      <c r="AB20">
        <v>11</v>
      </c>
      <c r="AC20">
        <v>11</v>
      </c>
      <c r="AD20">
        <v>12</v>
      </c>
      <c r="AE20">
        <v>12</v>
      </c>
      <c r="AF20">
        <v>12</v>
      </c>
      <c r="AG20">
        <v>12</v>
      </c>
      <c r="AH20">
        <v>12</v>
      </c>
      <c r="AI20">
        <v>12</v>
      </c>
      <c r="AJ20">
        <v>13</v>
      </c>
      <c r="AK20">
        <v>13</v>
      </c>
      <c r="AL20">
        <v>14</v>
      </c>
      <c r="AM20">
        <v>14</v>
      </c>
      <c r="AN20">
        <v>14</v>
      </c>
      <c r="AO20">
        <v>15</v>
      </c>
    </row>
    <row r="21" spans="1:44" x14ac:dyDescent="0.25">
      <c r="A21" s="1">
        <v>12</v>
      </c>
      <c r="B21">
        <v>0</v>
      </c>
      <c r="C21">
        <v>4</v>
      </c>
      <c r="D21">
        <v>4</v>
      </c>
      <c r="E21">
        <v>5</v>
      </c>
      <c r="F21">
        <v>6</v>
      </c>
      <c r="G21">
        <v>6</v>
      </c>
      <c r="H21">
        <v>6</v>
      </c>
      <c r="I21">
        <v>6</v>
      </c>
      <c r="J21">
        <v>6</v>
      </c>
      <c r="K21">
        <v>6</v>
      </c>
      <c r="L21">
        <v>7</v>
      </c>
      <c r="M21">
        <v>7</v>
      </c>
      <c r="N21">
        <v>9</v>
      </c>
      <c r="O21">
        <v>9</v>
      </c>
      <c r="P21">
        <v>9</v>
      </c>
      <c r="Q21">
        <v>10</v>
      </c>
      <c r="R21">
        <v>10</v>
      </c>
      <c r="S21">
        <v>11</v>
      </c>
      <c r="T21">
        <v>11</v>
      </c>
      <c r="U21">
        <v>11</v>
      </c>
      <c r="V21">
        <v>11</v>
      </c>
      <c r="W21">
        <v>12</v>
      </c>
      <c r="X21">
        <v>12</v>
      </c>
      <c r="Y21">
        <v>14</v>
      </c>
      <c r="Z21">
        <v>15</v>
      </c>
      <c r="AA21">
        <v>15</v>
      </c>
      <c r="AB21">
        <v>18</v>
      </c>
      <c r="AC21">
        <v>19</v>
      </c>
      <c r="AD21">
        <v>19</v>
      </c>
      <c r="AE21">
        <v>21</v>
      </c>
      <c r="AF21">
        <v>21</v>
      </c>
      <c r="AG21">
        <v>21</v>
      </c>
      <c r="AH21">
        <v>21</v>
      </c>
      <c r="AI21">
        <v>22</v>
      </c>
      <c r="AJ21">
        <v>22</v>
      </c>
      <c r="AK21">
        <v>24</v>
      </c>
      <c r="AL21">
        <v>25</v>
      </c>
      <c r="AM21">
        <v>25</v>
      </c>
      <c r="AN21">
        <v>25</v>
      </c>
      <c r="AO21">
        <v>25</v>
      </c>
    </row>
    <row r="22" spans="1:44" x14ac:dyDescent="0.25">
      <c r="A22" s="1">
        <v>13</v>
      </c>
      <c r="B22">
        <v>1</v>
      </c>
      <c r="C22">
        <v>2</v>
      </c>
      <c r="D22">
        <v>2</v>
      </c>
      <c r="E22">
        <v>3</v>
      </c>
      <c r="F22">
        <v>3</v>
      </c>
      <c r="G22">
        <v>3</v>
      </c>
      <c r="H22">
        <v>3</v>
      </c>
      <c r="I22">
        <v>4</v>
      </c>
      <c r="J22">
        <v>4</v>
      </c>
      <c r="K22">
        <v>4</v>
      </c>
      <c r="L22">
        <v>4</v>
      </c>
      <c r="M22">
        <v>5</v>
      </c>
      <c r="N22">
        <v>6</v>
      </c>
      <c r="O22">
        <v>7</v>
      </c>
      <c r="P22">
        <v>7</v>
      </c>
      <c r="Q22">
        <v>8</v>
      </c>
      <c r="R22">
        <v>8</v>
      </c>
      <c r="S22">
        <v>9</v>
      </c>
      <c r="T22">
        <v>10</v>
      </c>
      <c r="U22">
        <v>10</v>
      </c>
      <c r="V22">
        <v>10</v>
      </c>
      <c r="W22">
        <v>14</v>
      </c>
      <c r="X22">
        <v>14</v>
      </c>
      <c r="Y22">
        <v>16</v>
      </c>
      <c r="Z22">
        <v>16</v>
      </c>
      <c r="AA22">
        <v>16</v>
      </c>
      <c r="AB22">
        <v>16</v>
      </c>
      <c r="AC22">
        <v>17</v>
      </c>
      <c r="AD22">
        <v>19</v>
      </c>
      <c r="AE22">
        <v>20</v>
      </c>
      <c r="AF22">
        <v>20</v>
      </c>
      <c r="AG22">
        <v>21</v>
      </c>
      <c r="AH22">
        <v>21</v>
      </c>
      <c r="AI22">
        <v>23</v>
      </c>
      <c r="AJ22">
        <v>25</v>
      </c>
      <c r="AK22">
        <v>25</v>
      </c>
      <c r="AL22">
        <v>25</v>
      </c>
      <c r="AM22">
        <v>25</v>
      </c>
      <c r="AN22">
        <v>25</v>
      </c>
      <c r="AO22">
        <v>25</v>
      </c>
    </row>
    <row r="23" spans="1:44" x14ac:dyDescent="0.25">
      <c r="A23" s="1">
        <v>14</v>
      </c>
      <c r="B23">
        <v>0</v>
      </c>
      <c r="C23">
        <v>0</v>
      </c>
      <c r="D23">
        <v>0</v>
      </c>
      <c r="E23">
        <v>0</v>
      </c>
      <c r="F23">
        <v>0</v>
      </c>
      <c r="G23">
        <v>2</v>
      </c>
      <c r="H23">
        <v>2</v>
      </c>
      <c r="I23">
        <v>2</v>
      </c>
      <c r="J23">
        <v>2</v>
      </c>
      <c r="K23">
        <v>2</v>
      </c>
      <c r="L23">
        <v>3</v>
      </c>
      <c r="M23">
        <v>3</v>
      </c>
      <c r="N23">
        <v>4</v>
      </c>
      <c r="O23">
        <v>4</v>
      </c>
      <c r="P23">
        <v>5</v>
      </c>
      <c r="Q23">
        <v>5</v>
      </c>
      <c r="R23">
        <v>5</v>
      </c>
      <c r="S23">
        <v>5</v>
      </c>
      <c r="T23">
        <v>9</v>
      </c>
      <c r="U23">
        <v>9</v>
      </c>
      <c r="V23">
        <v>9</v>
      </c>
      <c r="W23">
        <v>9</v>
      </c>
      <c r="X23">
        <v>10</v>
      </c>
      <c r="Y23">
        <v>10</v>
      </c>
      <c r="Z23">
        <v>12</v>
      </c>
      <c r="AA23">
        <v>13</v>
      </c>
      <c r="AB23">
        <v>15</v>
      </c>
      <c r="AC23">
        <v>18</v>
      </c>
      <c r="AD23">
        <v>18</v>
      </c>
      <c r="AE23">
        <v>18</v>
      </c>
      <c r="AF23">
        <v>20</v>
      </c>
      <c r="AG23">
        <v>20</v>
      </c>
      <c r="AH23">
        <v>20</v>
      </c>
      <c r="AI23">
        <v>21</v>
      </c>
      <c r="AJ23">
        <v>22</v>
      </c>
      <c r="AK23">
        <v>23</v>
      </c>
      <c r="AL23">
        <v>23</v>
      </c>
      <c r="AM23">
        <v>24</v>
      </c>
      <c r="AN23">
        <v>24</v>
      </c>
      <c r="AO23">
        <v>25</v>
      </c>
    </row>
    <row r="24" spans="1:44" x14ac:dyDescent="0.25">
      <c r="A24" s="1">
        <v>15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2</v>
      </c>
      <c r="L24">
        <v>2</v>
      </c>
      <c r="M24">
        <v>2</v>
      </c>
      <c r="N24">
        <v>2</v>
      </c>
      <c r="O24">
        <v>2</v>
      </c>
      <c r="P24">
        <v>2</v>
      </c>
      <c r="Q24">
        <v>2</v>
      </c>
      <c r="R24">
        <v>4</v>
      </c>
      <c r="S24">
        <v>5</v>
      </c>
      <c r="T24">
        <v>6</v>
      </c>
      <c r="U24">
        <v>6</v>
      </c>
      <c r="V24">
        <v>6</v>
      </c>
      <c r="W24">
        <v>6</v>
      </c>
      <c r="X24">
        <v>6</v>
      </c>
      <c r="Y24">
        <v>7</v>
      </c>
      <c r="Z24">
        <v>7</v>
      </c>
      <c r="AA24">
        <v>7</v>
      </c>
      <c r="AB24">
        <v>9</v>
      </c>
      <c r="AC24">
        <v>9</v>
      </c>
      <c r="AD24">
        <v>11</v>
      </c>
      <c r="AE24">
        <v>12</v>
      </c>
      <c r="AF24">
        <v>13</v>
      </c>
      <c r="AG24">
        <v>14</v>
      </c>
      <c r="AH24">
        <v>16</v>
      </c>
      <c r="AI24">
        <v>16</v>
      </c>
      <c r="AJ24">
        <v>16</v>
      </c>
      <c r="AK24">
        <v>17</v>
      </c>
      <c r="AL24">
        <v>17</v>
      </c>
      <c r="AM24">
        <v>17</v>
      </c>
      <c r="AN24">
        <v>18</v>
      </c>
      <c r="AO24">
        <v>18</v>
      </c>
    </row>
    <row r="25" spans="1:44" x14ac:dyDescent="0.25">
      <c r="A25" s="1">
        <v>16</v>
      </c>
      <c r="B25">
        <v>0</v>
      </c>
      <c r="C25">
        <v>2</v>
      </c>
      <c r="D25">
        <v>3</v>
      </c>
      <c r="E25">
        <v>4</v>
      </c>
      <c r="F25">
        <v>5</v>
      </c>
      <c r="G25">
        <v>6</v>
      </c>
      <c r="H25">
        <v>6</v>
      </c>
      <c r="I25">
        <v>6</v>
      </c>
      <c r="J25">
        <v>6</v>
      </c>
      <c r="K25">
        <v>6</v>
      </c>
      <c r="L25">
        <v>6</v>
      </c>
      <c r="M25">
        <v>6</v>
      </c>
      <c r="N25">
        <v>6</v>
      </c>
      <c r="O25">
        <v>7</v>
      </c>
      <c r="P25">
        <v>8</v>
      </c>
      <c r="Q25">
        <v>9</v>
      </c>
      <c r="R25">
        <v>9</v>
      </c>
      <c r="S25">
        <v>10</v>
      </c>
      <c r="T25">
        <v>12</v>
      </c>
      <c r="U25">
        <v>13</v>
      </c>
      <c r="V25">
        <v>14</v>
      </c>
      <c r="W25">
        <v>14</v>
      </c>
      <c r="X25">
        <v>14</v>
      </c>
      <c r="Y25">
        <v>14</v>
      </c>
      <c r="Z25">
        <v>15</v>
      </c>
      <c r="AA25">
        <v>15</v>
      </c>
      <c r="AB25">
        <v>15</v>
      </c>
      <c r="AC25">
        <v>16</v>
      </c>
      <c r="AD25">
        <v>18</v>
      </c>
      <c r="AE25">
        <v>18</v>
      </c>
      <c r="AF25">
        <v>19</v>
      </c>
      <c r="AG25">
        <v>21</v>
      </c>
      <c r="AH25">
        <v>23</v>
      </c>
      <c r="AI25">
        <v>23</v>
      </c>
      <c r="AJ25">
        <v>25</v>
      </c>
      <c r="AK25">
        <v>25</v>
      </c>
      <c r="AL25">
        <v>25</v>
      </c>
      <c r="AM25">
        <v>25</v>
      </c>
      <c r="AN25">
        <v>25</v>
      </c>
      <c r="AO25">
        <v>25</v>
      </c>
    </row>
    <row r="26" spans="1:44" x14ac:dyDescent="0.25">
      <c r="A26" s="1">
        <v>17</v>
      </c>
      <c r="B26">
        <v>0</v>
      </c>
      <c r="C26">
        <v>0</v>
      </c>
      <c r="D26">
        <v>1</v>
      </c>
      <c r="E26">
        <v>2</v>
      </c>
      <c r="F26">
        <v>3</v>
      </c>
      <c r="G26">
        <v>3</v>
      </c>
      <c r="H26">
        <v>3</v>
      </c>
      <c r="I26">
        <v>4</v>
      </c>
      <c r="J26">
        <v>6</v>
      </c>
      <c r="K26">
        <v>6</v>
      </c>
      <c r="L26">
        <v>7</v>
      </c>
      <c r="M26">
        <v>7</v>
      </c>
      <c r="N26">
        <v>7</v>
      </c>
      <c r="O26">
        <v>7</v>
      </c>
      <c r="P26">
        <v>8</v>
      </c>
      <c r="Q26">
        <v>9</v>
      </c>
      <c r="R26">
        <v>9</v>
      </c>
      <c r="S26">
        <v>9</v>
      </c>
      <c r="T26">
        <v>9</v>
      </c>
      <c r="U26">
        <v>10</v>
      </c>
      <c r="V26">
        <v>10</v>
      </c>
      <c r="W26">
        <v>10</v>
      </c>
      <c r="X26">
        <v>11</v>
      </c>
      <c r="Y26">
        <v>12</v>
      </c>
      <c r="Z26">
        <v>13</v>
      </c>
      <c r="AA26">
        <v>14</v>
      </c>
      <c r="AB26">
        <v>14</v>
      </c>
      <c r="AC26">
        <v>15</v>
      </c>
      <c r="AD26">
        <v>16</v>
      </c>
      <c r="AE26">
        <v>17</v>
      </c>
      <c r="AF26">
        <v>17</v>
      </c>
      <c r="AG26">
        <v>17</v>
      </c>
      <c r="AH26">
        <v>17</v>
      </c>
      <c r="AI26">
        <v>18</v>
      </c>
      <c r="AJ26">
        <v>18</v>
      </c>
      <c r="AK26">
        <v>19</v>
      </c>
      <c r="AL26">
        <v>21</v>
      </c>
      <c r="AM26">
        <v>22</v>
      </c>
      <c r="AN26">
        <v>22</v>
      </c>
      <c r="AO26">
        <v>22</v>
      </c>
    </row>
    <row r="27" spans="1:44" x14ac:dyDescent="0.25">
      <c r="A27" s="1">
        <v>18</v>
      </c>
      <c r="B27">
        <v>2</v>
      </c>
      <c r="C27">
        <v>4</v>
      </c>
      <c r="D27">
        <v>4</v>
      </c>
      <c r="E27">
        <v>4</v>
      </c>
      <c r="F27">
        <v>6</v>
      </c>
      <c r="G27">
        <v>6</v>
      </c>
      <c r="H27">
        <v>7</v>
      </c>
      <c r="I27">
        <v>8</v>
      </c>
      <c r="J27">
        <v>8</v>
      </c>
      <c r="K27">
        <v>9</v>
      </c>
      <c r="L27">
        <v>9</v>
      </c>
      <c r="M27">
        <v>9</v>
      </c>
      <c r="N27">
        <v>10</v>
      </c>
      <c r="O27">
        <v>10</v>
      </c>
      <c r="P27">
        <v>10</v>
      </c>
      <c r="Q27">
        <v>10</v>
      </c>
      <c r="R27">
        <v>11</v>
      </c>
      <c r="S27">
        <v>11</v>
      </c>
      <c r="T27">
        <v>11</v>
      </c>
      <c r="U27">
        <v>12</v>
      </c>
      <c r="V27">
        <v>12</v>
      </c>
      <c r="W27">
        <v>14</v>
      </c>
      <c r="X27">
        <v>14</v>
      </c>
      <c r="Y27">
        <v>15</v>
      </c>
      <c r="Z27">
        <v>15</v>
      </c>
      <c r="AA27">
        <v>16</v>
      </c>
      <c r="AB27">
        <v>16</v>
      </c>
      <c r="AC27">
        <v>17</v>
      </c>
      <c r="AD27">
        <v>18</v>
      </c>
      <c r="AE27">
        <v>18</v>
      </c>
      <c r="AF27">
        <v>19</v>
      </c>
      <c r="AG27">
        <v>20</v>
      </c>
      <c r="AH27">
        <v>23</v>
      </c>
      <c r="AI27">
        <v>24</v>
      </c>
      <c r="AJ27">
        <v>25</v>
      </c>
      <c r="AK27">
        <v>25</v>
      </c>
      <c r="AL27">
        <v>25</v>
      </c>
      <c r="AM27">
        <v>25</v>
      </c>
      <c r="AN27">
        <v>25</v>
      </c>
      <c r="AO27">
        <v>25</v>
      </c>
    </row>
    <row r="28" spans="1:44" x14ac:dyDescent="0.25">
      <c r="A28" s="1">
        <v>19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4</v>
      </c>
      <c r="N28">
        <v>5</v>
      </c>
      <c r="O28">
        <v>7</v>
      </c>
      <c r="P28">
        <v>7</v>
      </c>
      <c r="Q28">
        <v>8</v>
      </c>
      <c r="R28">
        <v>11</v>
      </c>
      <c r="S28">
        <v>11</v>
      </c>
      <c r="T28">
        <v>11</v>
      </c>
      <c r="U28">
        <v>11</v>
      </c>
      <c r="V28">
        <v>12</v>
      </c>
      <c r="W28">
        <v>13</v>
      </c>
      <c r="X28">
        <v>13</v>
      </c>
      <c r="Y28">
        <v>15</v>
      </c>
      <c r="Z28">
        <v>17</v>
      </c>
      <c r="AA28">
        <v>19</v>
      </c>
      <c r="AB28">
        <v>19</v>
      </c>
      <c r="AC28">
        <v>21</v>
      </c>
      <c r="AD28">
        <v>22</v>
      </c>
      <c r="AE28">
        <v>22</v>
      </c>
      <c r="AF28">
        <v>22</v>
      </c>
      <c r="AG28">
        <v>24</v>
      </c>
      <c r="AH28">
        <v>25</v>
      </c>
      <c r="AI28">
        <v>25</v>
      </c>
      <c r="AJ28">
        <v>25</v>
      </c>
      <c r="AK28">
        <v>25</v>
      </c>
      <c r="AL28">
        <v>25</v>
      </c>
      <c r="AM28">
        <v>25</v>
      </c>
      <c r="AN28">
        <v>25</v>
      </c>
      <c r="AO28">
        <v>25</v>
      </c>
    </row>
    <row r="29" spans="1:44" x14ac:dyDescent="0.25">
      <c r="A29" s="1">
        <v>20</v>
      </c>
      <c r="B29">
        <v>0</v>
      </c>
      <c r="C29">
        <v>0</v>
      </c>
      <c r="D29">
        <v>0</v>
      </c>
      <c r="E29">
        <v>1</v>
      </c>
      <c r="F29">
        <v>1</v>
      </c>
      <c r="G29">
        <v>1</v>
      </c>
      <c r="H29">
        <v>3</v>
      </c>
      <c r="I29">
        <v>3</v>
      </c>
      <c r="J29">
        <v>4</v>
      </c>
      <c r="K29">
        <v>4</v>
      </c>
      <c r="L29">
        <v>5</v>
      </c>
      <c r="M29">
        <v>5</v>
      </c>
      <c r="N29">
        <v>6</v>
      </c>
      <c r="O29">
        <v>6</v>
      </c>
      <c r="P29">
        <v>6</v>
      </c>
      <c r="Q29">
        <v>7</v>
      </c>
      <c r="R29">
        <v>8</v>
      </c>
      <c r="S29">
        <v>8</v>
      </c>
      <c r="T29">
        <v>8</v>
      </c>
      <c r="U29">
        <v>8</v>
      </c>
      <c r="V29">
        <v>8</v>
      </c>
      <c r="W29">
        <v>10</v>
      </c>
      <c r="X29">
        <v>11</v>
      </c>
      <c r="Y29">
        <v>11</v>
      </c>
      <c r="Z29">
        <v>12</v>
      </c>
      <c r="AA29">
        <v>12</v>
      </c>
      <c r="AB29">
        <v>12</v>
      </c>
      <c r="AC29">
        <v>12</v>
      </c>
      <c r="AD29">
        <v>12</v>
      </c>
      <c r="AE29">
        <v>12</v>
      </c>
      <c r="AF29">
        <v>13</v>
      </c>
      <c r="AG29">
        <v>13</v>
      </c>
      <c r="AH29">
        <v>14</v>
      </c>
      <c r="AI29">
        <v>14</v>
      </c>
      <c r="AJ29">
        <v>15</v>
      </c>
      <c r="AK29">
        <v>15</v>
      </c>
      <c r="AL29">
        <v>16</v>
      </c>
      <c r="AM29">
        <v>17</v>
      </c>
      <c r="AN29">
        <v>17</v>
      </c>
      <c r="AO29">
        <v>18</v>
      </c>
    </row>
    <row r="31" spans="1:44" x14ac:dyDescent="0.25">
      <c r="A31" s="1" t="s">
        <v>0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22" t="s">
        <v>28</v>
      </c>
    </row>
    <row r="32" spans="1:44" x14ac:dyDescent="0.25">
      <c r="A32" s="1"/>
      <c r="AN32" s="4" t="s">
        <v>0</v>
      </c>
      <c r="AO32" s="4">
        <f>AVERAGE(AO10:AO29)</f>
        <v>22.55</v>
      </c>
      <c r="AP32" s="4"/>
      <c r="AQ32" s="4"/>
      <c r="AR32" s="4"/>
    </row>
    <row r="33" spans="1:44" ht="25.5" customHeight="1" x14ac:dyDescent="0.25">
      <c r="A33" s="1"/>
      <c r="AN33" s="19" t="s">
        <v>26</v>
      </c>
      <c r="AO33" s="5">
        <f>STDEV(AO10:AO29)</f>
        <v>3.5015034364954594</v>
      </c>
      <c r="AP33" s="5"/>
      <c r="AR33" s="5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R58"/>
  <sheetViews>
    <sheetView tabSelected="1" topLeftCell="X29" workbookViewId="0">
      <selection activeCell="AO39" sqref="AO39"/>
    </sheetView>
  </sheetViews>
  <sheetFormatPr defaultRowHeight="13.2" x14ac:dyDescent="0.25"/>
  <cols>
    <col min="5" max="5" width="12.77734375" customWidth="1"/>
    <col min="6" max="6" width="13.44140625" customWidth="1"/>
    <col min="7" max="7" width="16.5546875" customWidth="1"/>
  </cols>
  <sheetData>
    <row r="1" spans="1:44" x14ac:dyDescent="0.25"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44" x14ac:dyDescent="0.25">
      <c r="A2" s="7" t="s">
        <v>20</v>
      </c>
      <c r="B2" s="7"/>
      <c r="C2" s="7">
        <v>25</v>
      </c>
      <c r="D2" s="9"/>
      <c r="E2" s="9" t="s">
        <v>15</v>
      </c>
      <c r="F2" s="9"/>
      <c r="G2" s="9"/>
      <c r="H2" s="9"/>
      <c r="I2" s="9"/>
      <c r="J2" s="9"/>
      <c r="K2" s="9"/>
      <c r="L2" s="9"/>
      <c r="M2" s="9"/>
      <c r="N2" s="9"/>
    </row>
    <row r="3" spans="1:44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44" x14ac:dyDescent="0.25"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spans="1:44" x14ac:dyDescent="0.25">
      <c r="B5" s="10"/>
      <c r="C5" s="9"/>
      <c r="D5" s="9"/>
      <c r="E5" s="17"/>
      <c r="F5" s="9"/>
      <c r="G5" s="9"/>
      <c r="H5" s="9"/>
      <c r="I5" s="9"/>
      <c r="J5" s="9"/>
      <c r="K5" s="9"/>
      <c r="L5" s="9"/>
      <c r="M5" s="9"/>
      <c r="N5" s="9"/>
    </row>
    <row r="7" spans="1:44" x14ac:dyDescent="0.25">
      <c r="A7" s="1" t="s">
        <v>24</v>
      </c>
      <c r="B7" t="s">
        <v>21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s">
        <v>21</v>
      </c>
      <c r="R7" t="s">
        <v>21</v>
      </c>
      <c r="S7" t="s">
        <v>21</v>
      </c>
      <c r="T7" t="s">
        <v>21</v>
      </c>
      <c r="U7" t="s">
        <v>21</v>
      </c>
      <c r="V7" t="s">
        <v>21</v>
      </c>
      <c r="W7" t="s">
        <v>21</v>
      </c>
      <c r="X7" t="s">
        <v>21</v>
      </c>
      <c r="Y7" t="s">
        <v>21</v>
      </c>
      <c r="Z7" t="s">
        <v>21</v>
      </c>
      <c r="AA7" t="s">
        <v>21</v>
      </c>
      <c r="AB7" t="s">
        <v>21</v>
      </c>
      <c r="AC7" t="s">
        <v>21</v>
      </c>
      <c r="AD7" t="s">
        <v>21</v>
      </c>
      <c r="AE7" t="s">
        <v>21</v>
      </c>
      <c r="AF7" t="s">
        <v>21</v>
      </c>
      <c r="AG7" t="s">
        <v>21</v>
      </c>
      <c r="AH7" t="s">
        <v>21</v>
      </c>
      <c r="AI7" t="s">
        <v>21</v>
      </c>
      <c r="AJ7" t="s">
        <v>21</v>
      </c>
      <c r="AK7" t="s">
        <v>21</v>
      </c>
      <c r="AL7" t="s">
        <v>21</v>
      </c>
      <c r="AM7" t="s">
        <v>21</v>
      </c>
      <c r="AN7" t="s">
        <v>21</v>
      </c>
      <c r="AO7" t="s">
        <v>21</v>
      </c>
      <c r="AR7" t="s">
        <v>16</v>
      </c>
    </row>
    <row r="8" spans="1:44" x14ac:dyDescent="0.25">
      <c r="A8" s="2" t="s">
        <v>25</v>
      </c>
      <c r="B8" s="3">
        <v>40</v>
      </c>
      <c r="C8" s="3">
        <v>39</v>
      </c>
      <c r="D8" s="3">
        <v>38</v>
      </c>
      <c r="E8" s="3">
        <v>37</v>
      </c>
      <c r="F8" s="3">
        <v>36</v>
      </c>
      <c r="G8" s="3">
        <v>35</v>
      </c>
      <c r="H8" s="3">
        <v>34</v>
      </c>
      <c r="I8" s="3">
        <v>33</v>
      </c>
      <c r="J8" s="3">
        <v>32</v>
      </c>
      <c r="K8" s="3">
        <v>31</v>
      </c>
      <c r="L8" s="3">
        <v>30</v>
      </c>
      <c r="M8" s="3">
        <v>29</v>
      </c>
      <c r="N8" s="3">
        <v>28</v>
      </c>
      <c r="O8" s="3">
        <v>27</v>
      </c>
      <c r="P8" s="3">
        <v>26</v>
      </c>
      <c r="Q8" s="3">
        <v>25</v>
      </c>
      <c r="R8" s="3">
        <v>24</v>
      </c>
      <c r="S8" s="3">
        <v>23</v>
      </c>
      <c r="T8" s="3">
        <v>22</v>
      </c>
      <c r="U8" s="3">
        <v>21</v>
      </c>
      <c r="V8" s="3">
        <v>20</v>
      </c>
      <c r="W8" s="3">
        <v>19</v>
      </c>
      <c r="X8" s="3">
        <v>18</v>
      </c>
      <c r="Y8" s="3">
        <v>17</v>
      </c>
      <c r="Z8" s="3">
        <v>16</v>
      </c>
      <c r="AA8" s="3">
        <v>15</v>
      </c>
      <c r="AB8" s="3">
        <v>14</v>
      </c>
      <c r="AC8" s="3">
        <v>13</v>
      </c>
      <c r="AD8" s="3">
        <v>12</v>
      </c>
      <c r="AE8" s="3">
        <v>11</v>
      </c>
      <c r="AF8" s="3">
        <v>10</v>
      </c>
      <c r="AG8" s="3">
        <v>9</v>
      </c>
      <c r="AH8" s="3">
        <v>8</v>
      </c>
      <c r="AI8" s="3">
        <v>7</v>
      </c>
      <c r="AJ8" s="3">
        <v>6</v>
      </c>
      <c r="AK8" s="3">
        <v>5</v>
      </c>
      <c r="AL8" s="3">
        <v>4</v>
      </c>
      <c r="AM8" s="3">
        <v>3</v>
      </c>
      <c r="AN8" s="3">
        <v>2</v>
      </c>
      <c r="AO8" s="3">
        <v>1</v>
      </c>
      <c r="AP8" s="6"/>
    </row>
    <row r="10" spans="1:44" x14ac:dyDescent="0.25">
      <c r="A10" s="1">
        <v>1</v>
      </c>
      <c r="B10">
        <v>0</v>
      </c>
      <c r="C10">
        <v>0</v>
      </c>
      <c r="D10">
        <v>0</v>
      </c>
      <c r="E10">
        <v>1</v>
      </c>
      <c r="F10">
        <v>1</v>
      </c>
      <c r="G10">
        <v>1</v>
      </c>
      <c r="H10">
        <v>1</v>
      </c>
      <c r="I10">
        <v>1</v>
      </c>
      <c r="J10">
        <v>2</v>
      </c>
      <c r="K10">
        <v>2</v>
      </c>
      <c r="L10">
        <v>2</v>
      </c>
      <c r="M10">
        <v>3</v>
      </c>
      <c r="N10">
        <v>4</v>
      </c>
      <c r="O10">
        <v>4</v>
      </c>
      <c r="P10">
        <v>4</v>
      </c>
      <c r="Q10">
        <v>4</v>
      </c>
      <c r="R10">
        <v>4</v>
      </c>
      <c r="S10">
        <v>5</v>
      </c>
      <c r="T10">
        <v>6</v>
      </c>
      <c r="U10">
        <v>7</v>
      </c>
      <c r="V10">
        <v>8</v>
      </c>
      <c r="W10">
        <v>9</v>
      </c>
      <c r="X10">
        <v>12</v>
      </c>
      <c r="Y10">
        <v>13</v>
      </c>
      <c r="Z10">
        <v>13</v>
      </c>
      <c r="AA10">
        <v>13</v>
      </c>
      <c r="AB10">
        <v>14</v>
      </c>
      <c r="AC10">
        <v>14</v>
      </c>
      <c r="AD10">
        <v>15</v>
      </c>
      <c r="AE10">
        <v>16</v>
      </c>
      <c r="AF10">
        <v>16</v>
      </c>
      <c r="AG10">
        <v>16</v>
      </c>
      <c r="AH10">
        <v>18</v>
      </c>
      <c r="AI10">
        <v>18</v>
      </c>
      <c r="AJ10">
        <v>18</v>
      </c>
      <c r="AK10">
        <v>19</v>
      </c>
      <c r="AL10">
        <v>20</v>
      </c>
      <c r="AM10">
        <v>20</v>
      </c>
      <c r="AN10">
        <v>21</v>
      </c>
      <c r="AO10">
        <v>23</v>
      </c>
      <c r="AR10">
        <f>AO10</f>
        <v>23</v>
      </c>
    </row>
    <row r="11" spans="1:44" x14ac:dyDescent="0.25">
      <c r="A11" s="1">
        <v>2</v>
      </c>
      <c r="B11">
        <v>0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3</v>
      </c>
      <c r="L11">
        <v>3</v>
      </c>
      <c r="M11">
        <v>4</v>
      </c>
      <c r="N11">
        <v>4</v>
      </c>
      <c r="O11">
        <v>7</v>
      </c>
      <c r="P11">
        <v>12</v>
      </c>
      <c r="Q11">
        <v>13</v>
      </c>
      <c r="R11">
        <v>14</v>
      </c>
      <c r="S11">
        <v>14</v>
      </c>
      <c r="T11">
        <v>14</v>
      </c>
      <c r="U11">
        <v>16</v>
      </c>
      <c r="V11">
        <v>17</v>
      </c>
      <c r="W11">
        <v>18</v>
      </c>
      <c r="X11">
        <v>18</v>
      </c>
      <c r="Y11">
        <v>20</v>
      </c>
      <c r="Z11">
        <v>20</v>
      </c>
      <c r="AA11">
        <v>20</v>
      </c>
      <c r="AB11">
        <v>21</v>
      </c>
      <c r="AC11">
        <v>23</v>
      </c>
      <c r="AD11">
        <v>24</v>
      </c>
      <c r="AE11">
        <v>24</v>
      </c>
      <c r="AF11">
        <v>25</v>
      </c>
      <c r="AG11">
        <v>25</v>
      </c>
      <c r="AH11">
        <v>25</v>
      </c>
      <c r="AI11">
        <v>25</v>
      </c>
      <c r="AJ11">
        <v>25</v>
      </c>
      <c r="AK11">
        <v>25</v>
      </c>
      <c r="AL11">
        <v>25</v>
      </c>
      <c r="AM11">
        <v>25</v>
      </c>
      <c r="AN11">
        <v>25</v>
      </c>
      <c r="AO11">
        <v>25</v>
      </c>
      <c r="AR11">
        <f t="shared" ref="AR11:AR29" si="0">AO11</f>
        <v>25</v>
      </c>
    </row>
    <row r="12" spans="1:44" x14ac:dyDescent="0.25">
      <c r="A12" s="1">
        <v>3</v>
      </c>
      <c r="B12">
        <v>1</v>
      </c>
      <c r="C12">
        <v>1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3</v>
      </c>
      <c r="K12">
        <v>3</v>
      </c>
      <c r="L12">
        <v>3</v>
      </c>
      <c r="M12">
        <v>4</v>
      </c>
      <c r="N12">
        <v>5</v>
      </c>
      <c r="O12">
        <v>5</v>
      </c>
      <c r="P12">
        <v>5</v>
      </c>
      <c r="Q12">
        <v>7</v>
      </c>
      <c r="R12">
        <v>7</v>
      </c>
      <c r="S12">
        <v>7</v>
      </c>
      <c r="T12">
        <v>10</v>
      </c>
      <c r="U12">
        <v>10</v>
      </c>
      <c r="V12">
        <v>12</v>
      </c>
      <c r="W12">
        <v>13</v>
      </c>
      <c r="X12">
        <v>14</v>
      </c>
      <c r="Y12">
        <v>16</v>
      </c>
      <c r="Z12">
        <v>16</v>
      </c>
      <c r="AA12">
        <v>18</v>
      </c>
      <c r="AB12">
        <v>18</v>
      </c>
      <c r="AC12">
        <v>18</v>
      </c>
      <c r="AD12">
        <v>20</v>
      </c>
      <c r="AE12">
        <v>20</v>
      </c>
      <c r="AF12">
        <v>22</v>
      </c>
      <c r="AG12">
        <v>25</v>
      </c>
      <c r="AH12">
        <v>25</v>
      </c>
      <c r="AI12">
        <v>25</v>
      </c>
      <c r="AJ12">
        <v>25</v>
      </c>
      <c r="AK12">
        <v>25</v>
      </c>
      <c r="AL12">
        <v>25</v>
      </c>
      <c r="AM12">
        <v>25</v>
      </c>
      <c r="AN12">
        <v>25</v>
      </c>
      <c r="AO12">
        <v>25</v>
      </c>
      <c r="AR12">
        <f t="shared" si="0"/>
        <v>25</v>
      </c>
    </row>
    <row r="13" spans="1:44" x14ac:dyDescent="0.25">
      <c r="A13" s="1">
        <v>4</v>
      </c>
      <c r="B13">
        <v>0</v>
      </c>
      <c r="C13">
        <v>0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2</v>
      </c>
      <c r="L13">
        <v>4</v>
      </c>
      <c r="M13">
        <v>5</v>
      </c>
      <c r="N13">
        <v>5</v>
      </c>
      <c r="O13">
        <v>5</v>
      </c>
      <c r="P13">
        <v>6</v>
      </c>
      <c r="Q13">
        <v>7</v>
      </c>
      <c r="R13">
        <v>7</v>
      </c>
      <c r="S13">
        <v>8</v>
      </c>
      <c r="T13">
        <v>8</v>
      </c>
      <c r="U13">
        <v>8</v>
      </c>
      <c r="V13">
        <v>8</v>
      </c>
      <c r="W13">
        <v>8</v>
      </c>
      <c r="X13">
        <v>9</v>
      </c>
      <c r="Y13">
        <v>9</v>
      </c>
      <c r="Z13">
        <v>9</v>
      </c>
      <c r="AA13">
        <v>9</v>
      </c>
      <c r="AB13">
        <v>10</v>
      </c>
      <c r="AC13">
        <v>10</v>
      </c>
      <c r="AD13">
        <v>11</v>
      </c>
      <c r="AE13">
        <v>11</v>
      </c>
      <c r="AF13">
        <v>11</v>
      </c>
      <c r="AG13">
        <v>11</v>
      </c>
      <c r="AH13">
        <v>13</v>
      </c>
      <c r="AI13">
        <v>14</v>
      </c>
      <c r="AJ13">
        <v>14</v>
      </c>
      <c r="AK13">
        <v>14</v>
      </c>
      <c r="AL13">
        <v>14</v>
      </c>
      <c r="AM13">
        <v>15</v>
      </c>
      <c r="AN13">
        <v>15</v>
      </c>
      <c r="AO13">
        <v>16</v>
      </c>
      <c r="AR13">
        <f t="shared" si="0"/>
        <v>16</v>
      </c>
    </row>
    <row r="14" spans="1:44" x14ac:dyDescent="0.25">
      <c r="A14" s="1">
        <v>5</v>
      </c>
      <c r="B14">
        <v>0</v>
      </c>
      <c r="C14">
        <v>1</v>
      </c>
      <c r="D14">
        <v>3</v>
      </c>
      <c r="E14">
        <v>4</v>
      </c>
      <c r="F14">
        <v>6</v>
      </c>
      <c r="G14">
        <v>7</v>
      </c>
      <c r="H14">
        <v>9</v>
      </c>
      <c r="I14">
        <v>9</v>
      </c>
      <c r="J14">
        <v>11</v>
      </c>
      <c r="K14">
        <v>12</v>
      </c>
      <c r="L14">
        <v>12</v>
      </c>
      <c r="M14">
        <v>12</v>
      </c>
      <c r="N14">
        <v>12</v>
      </c>
      <c r="O14">
        <v>12</v>
      </c>
      <c r="P14">
        <v>13</v>
      </c>
      <c r="Q14">
        <v>13</v>
      </c>
      <c r="R14">
        <v>14</v>
      </c>
      <c r="S14">
        <v>14</v>
      </c>
      <c r="T14">
        <v>15</v>
      </c>
      <c r="U14">
        <v>15</v>
      </c>
      <c r="V14">
        <v>16</v>
      </c>
      <c r="W14">
        <v>16</v>
      </c>
      <c r="X14">
        <v>17</v>
      </c>
      <c r="Y14">
        <v>19</v>
      </c>
      <c r="Z14">
        <v>20</v>
      </c>
      <c r="AA14">
        <v>20</v>
      </c>
      <c r="AB14">
        <v>21</v>
      </c>
      <c r="AC14">
        <v>21</v>
      </c>
      <c r="AD14">
        <v>21</v>
      </c>
      <c r="AE14">
        <v>23</v>
      </c>
      <c r="AF14">
        <v>24</v>
      </c>
      <c r="AG14">
        <v>24</v>
      </c>
      <c r="AH14">
        <v>25</v>
      </c>
      <c r="AI14">
        <v>25</v>
      </c>
      <c r="AJ14">
        <v>25</v>
      </c>
      <c r="AK14">
        <v>25</v>
      </c>
      <c r="AL14">
        <v>25</v>
      </c>
      <c r="AM14">
        <v>25</v>
      </c>
      <c r="AN14">
        <v>25</v>
      </c>
      <c r="AO14">
        <v>25</v>
      </c>
      <c r="AR14">
        <f t="shared" si="0"/>
        <v>25</v>
      </c>
    </row>
    <row r="15" spans="1:44" x14ac:dyDescent="0.25">
      <c r="A15" s="1">
        <v>6</v>
      </c>
      <c r="B15">
        <v>0</v>
      </c>
      <c r="C15">
        <v>2</v>
      </c>
      <c r="D15">
        <v>4</v>
      </c>
      <c r="E15">
        <v>5</v>
      </c>
      <c r="F15">
        <v>5</v>
      </c>
      <c r="G15">
        <v>5</v>
      </c>
      <c r="H15">
        <v>5</v>
      </c>
      <c r="I15">
        <v>7</v>
      </c>
      <c r="J15">
        <v>7</v>
      </c>
      <c r="K15">
        <v>7</v>
      </c>
      <c r="L15">
        <v>9</v>
      </c>
      <c r="M15">
        <v>9</v>
      </c>
      <c r="N15">
        <v>9</v>
      </c>
      <c r="O15">
        <v>9</v>
      </c>
      <c r="P15">
        <v>10</v>
      </c>
      <c r="Q15">
        <v>10</v>
      </c>
      <c r="R15">
        <v>10</v>
      </c>
      <c r="S15">
        <v>11</v>
      </c>
      <c r="T15">
        <v>11</v>
      </c>
      <c r="U15">
        <v>11</v>
      </c>
      <c r="V15">
        <v>13</v>
      </c>
      <c r="W15">
        <v>14</v>
      </c>
      <c r="X15">
        <v>16</v>
      </c>
      <c r="Y15">
        <v>16</v>
      </c>
      <c r="Z15">
        <v>18</v>
      </c>
      <c r="AA15">
        <v>19</v>
      </c>
      <c r="AB15">
        <v>20</v>
      </c>
      <c r="AC15">
        <v>20</v>
      </c>
      <c r="AD15">
        <v>21</v>
      </c>
      <c r="AE15">
        <v>21</v>
      </c>
      <c r="AF15">
        <v>21</v>
      </c>
      <c r="AG15">
        <v>21</v>
      </c>
      <c r="AH15">
        <v>23</v>
      </c>
      <c r="AI15">
        <v>24</v>
      </c>
      <c r="AJ15">
        <v>25</v>
      </c>
      <c r="AK15">
        <v>25</v>
      </c>
      <c r="AL15">
        <v>25</v>
      </c>
      <c r="AM15">
        <v>25</v>
      </c>
      <c r="AN15">
        <v>25</v>
      </c>
      <c r="AO15">
        <v>25</v>
      </c>
      <c r="AR15">
        <f t="shared" si="0"/>
        <v>25</v>
      </c>
    </row>
    <row r="16" spans="1:44" x14ac:dyDescent="0.25">
      <c r="A16" s="1">
        <v>7</v>
      </c>
      <c r="B16">
        <v>0</v>
      </c>
      <c r="C16">
        <v>0</v>
      </c>
      <c r="D16">
        <v>1</v>
      </c>
      <c r="E16">
        <v>2</v>
      </c>
      <c r="F16">
        <v>2</v>
      </c>
      <c r="G16">
        <v>3</v>
      </c>
      <c r="H16">
        <v>3</v>
      </c>
      <c r="I16">
        <v>3</v>
      </c>
      <c r="J16">
        <v>4</v>
      </c>
      <c r="K16">
        <v>5</v>
      </c>
      <c r="L16">
        <v>6</v>
      </c>
      <c r="M16">
        <v>8</v>
      </c>
      <c r="N16">
        <v>9</v>
      </c>
      <c r="O16">
        <v>9</v>
      </c>
      <c r="P16">
        <v>10</v>
      </c>
      <c r="Q16">
        <v>10</v>
      </c>
      <c r="R16">
        <v>11</v>
      </c>
      <c r="S16">
        <v>12</v>
      </c>
      <c r="T16">
        <v>13</v>
      </c>
      <c r="U16">
        <v>14</v>
      </c>
      <c r="V16">
        <v>14</v>
      </c>
      <c r="W16">
        <v>14</v>
      </c>
      <c r="X16">
        <v>14</v>
      </c>
      <c r="Y16">
        <v>14</v>
      </c>
      <c r="Z16">
        <v>14</v>
      </c>
      <c r="AA16">
        <v>14</v>
      </c>
      <c r="AB16">
        <v>15</v>
      </c>
      <c r="AC16">
        <v>16</v>
      </c>
      <c r="AD16">
        <v>16</v>
      </c>
      <c r="AE16">
        <v>18</v>
      </c>
      <c r="AF16">
        <v>18</v>
      </c>
      <c r="AG16">
        <v>18</v>
      </c>
      <c r="AH16">
        <v>19</v>
      </c>
      <c r="AI16">
        <v>21</v>
      </c>
      <c r="AJ16">
        <v>23</v>
      </c>
      <c r="AK16">
        <v>23</v>
      </c>
      <c r="AL16">
        <v>23</v>
      </c>
      <c r="AM16">
        <v>24</v>
      </c>
      <c r="AN16">
        <v>24</v>
      </c>
      <c r="AO16">
        <v>25</v>
      </c>
      <c r="AR16">
        <f t="shared" si="0"/>
        <v>25</v>
      </c>
    </row>
    <row r="17" spans="1:44" x14ac:dyDescent="0.25">
      <c r="A17" s="1">
        <v>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3</v>
      </c>
      <c r="L17">
        <v>3</v>
      </c>
      <c r="M17">
        <v>4</v>
      </c>
      <c r="N17">
        <v>5</v>
      </c>
      <c r="O17">
        <v>6</v>
      </c>
      <c r="P17">
        <v>6</v>
      </c>
      <c r="Q17">
        <v>6</v>
      </c>
      <c r="R17">
        <v>6</v>
      </c>
      <c r="S17">
        <v>6</v>
      </c>
      <c r="T17">
        <v>6</v>
      </c>
      <c r="U17">
        <v>7</v>
      </c>
      <c r="V17">
        <v>7</v>
      </c>
      <c r="W17">
        <v>7</v>
      </c>
      <c r="X17">
        <v>9</v>
      </c>
      <c r="Y17">
        <v>9</v>
      </c>
      <c r="Z17">
        <v>9</v>
      </c>
      <c r="AA17">
        <v>11</v>
      </c>
      <c r="AB17">
        <v>12</v>
      </c>
      <c r="AC17">
        <v>12</v>
      </c>
      <c r="AD17">
        <v>12</v>
      </c>
      <c r="AE17">
        <v>12</v>
      </c>
      <c r="AF17">
        <v>13</v>
      </c>
      <c r="AG17">
        <v>14</v>
      </c>
      <c r="AH17">
        <v>15</v>
      </c>
      <c r="AI17">
        <v>15</v>
      </c>
      <c r="AJ17">
        <v>17</v>
      </c>
      <c r="AK17">
        <v>17</v>
      </c>
      <c r="AL17">
        <v>18</v>
      </c>
      <c r="AM17">
        <v>19</v>
      </c>
      <c r="AN17">
        <v>19</v>
      </c>
      <c r="AO17">
        <v>19</v>
      </c>
      <c r="AR17">
        <f t="shared" si="0"/>
        <v>19</v>
      </c>
    </row>
    <row r="18" spans="1:44" x14ac:dyDescent="0.25">
      <c r="A18" s="1">
        <v>9</v>
      </c>
      <c r="B18">
        <v>0</v>
      </c>
      <c r="C18">
        <v>0</v>
      </c>
      <c r="D18">
        <v>0</v>
      </c>
      <c r="E18">
        <v>0</v>
      </c>
      <c r="F18">
        <v>1</v>
      </c>
      <c r="G18">
        <v>2</v>
      </c>
      <c r="H18">
        <v>3</v>
      </c>
      <c r="I18">
        <v>4</v>
      </c>
      <c r="J18">
        <v>5</v>
      </c>
      <c r="K18">
        <v>5</v>
      </c>
      <c r="L18">
        <v>5</v>
      </c>
      <c r="M18">
        <v>5</v>
      </c>
      <c r="N18">
        <v>6</v>
      </c>
      <c r="O18">
        <v>6</v>
      </c>
      <c r="P18">
        <v>6</v>
      </c>
      <c r="Q18">
        <v>6</v>
      </c>
      <c r="R18">
        <v>7</v>
      </c>
      <c r="S18">
        <v>7</v>
      </c>
      <c r="T18">
        <v>7</v>
      </c>
      <c r="U18">
        <v>7</v>
      </c>
      <c r="V18">
        <v>7</v>
      </c>
      <c r="W18">
        <v>7</v>
      </c>
      <c r="X18">
        <v>7</v>
      </c>
      <c r="Y18">
        <v>8</v>
      </c>
      <c r="Z18">
        <v>8</v>
      </c>
      <c r="AA18">
        <v>8</v>
      </c>
      <c r="AB18">
        <v>9</v>
      </c>
      <c r="AC18">
        <v>10</v>
      </c>
      <c r="AD18">
        <v>12</v>
      </c>
      <c r="AE18">
        <v>13</v>
      </c>
      <c r="AF18">
        <v>13</v>
      </c>
      <c r="AG18">
        <v>13</v>
      </c>
      <c r="AH18">
        <v>15</v>
      </c>
      <c r="AI18">
        <v>15</v>
      </c>
      <c r="AJ18">
        <v>16</v>
      </c>
      <c r="AK18">
        <v>16</v>
      </c>
      <c r="AL18">
        <v>16</v>
      </c>
      <c r="AM18">
        <v>18</v>
      </c>
      <c r="AN18">
        <v>20</v>
      </c>
      <c r="AO18">
        <v>20</v>
      </c>
      <c r="AR18">
        <f t="shared" si="0"/>
        <v>20</v>
      </c>
    </row>
    <row r="19" spans="1:44" x14ac:dyDescent="0.25">
      <c r="A19" s="1">
        <v>10</v>
      </c>
      <c r="B19">
        <v>0</v>
      </c>
      <c r="C19">
        <v>2</v>
      </c>
      <c r="D19">
        <v>3</v>
      </c>
      <c r="E19">
        <v>3</v>
      </c>
      <c r="F19">
        <v>3</v>
      </c>
      <c r="G19">
        <v>3</v>
      </c>
      <c r="H19">
        <v>3</v>
      </c>
      <c r="I19">
        <v>3</v>
      </c>
      <c r="J19">
        <v>3</v>
      </c>
      <c r="K19">
        <v>3</v>
      </c>
      <c r="L19">
        <v>4</v>
      </c>
      <c r="M19">
        <v>5</v>
      </c>
      <c r="N19">
        <v>6</v>
      </c>
      <c r="O19">
        <v>8</v>
      </c>
      <c r="P19">
        <v>8</v>
      </c>
      <c r="Q19">
        <v>8</v>
      </c>
      <c r="R19">
        <v>10</v>
      </c>
      <c r="S19">
        <v>10</v>
      </c>
      <c r="T19">
        <v>10</v>
      </c>
      <c r="U19">
        <v>10</v>
      </c>
      <c r="V19">
        <v>10</v>
      </c>
      <c r="W19">
        <v>11</v>
      </c>
      <c r="X19">
        <v>14</v>
      </c>
      <c r="Y19">
        <v>14</v>
      </c>
      <c r="Z19">
        <v>14</v>
      </c>
      <c r="AA19">
        <v>14</v>
      </c>
      <c r="AB19">
        <v>14</v>
      </c>
      <c r="AC19">
        <v>15</v>
      </c>
      <c r="AD19">
        <v>16</v>
      </c>
      <c r="AE19">
        <v>16</v>
      </c>
      <c r="AF19">
        <v>17</v>
      </c>
      <c r="AG19">
        <v>17</v>
      </c>
      <c r="AH19">
        <v>17</v>
      </c>
      <c r="AI19">
        <v>17</v>
      </c>
      <c r="AJ19">
        <v>17</v>
      </c>
      <c r="AK19">
        <v>21</v>
      </c>
      <c r="AL19">
        <v>22</v>
      </c>
      <c r="AM19">
        <v>23</v>
      </c>
      <c r="AN19">
        <v>24</v>
      </c>
      <c r="AO19">
        <v>25</v>
      </c>
      <c r="AR19">
        <f t="shared" si="0"/>
        <v>25</v>
      </c>
    </row>
    <row r="20" spans="1:44" x14ac:dyDescent="0.25">
      <c r="A20" s="1">
        <v>11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3</v>
      </c>
      <c r="K20">
        <v>4</v>
      </c>
      <c r="L20">
        <v>4</v>
      </c>
      <c r="M20">
        <v>4</v>
      </c>
      <c r="N20">
        <v>4</v>
      </c>
      <c r="O20">
        <v>4</v>
      </c>
      <c r="P20">
        <v>4</v>
      </c>
      <c r="Q20">
        <v>5</v>
      </c>
      <c r="R20">
        <v>5</v>
      </c>
      <c r="S20">
        <v>6</v>
      </c>
      <c r="T20">
        <v>7</v>
      </c>
      <c r="U20">
        <v>7</v>
      </c>
      <c r="V20">
        <v>7</v>
      </c>
      <c r="W20">
        <v>9</v>
      </c>
      <c r="X20">
        <v>10</v>
      </c>
      <c r="Y20">
        <v>11</v>
      </c>
      <c r="Z20">
        <v>11</v>
      </c>
      <c r="AA20">
        <v>11</v>
      </c>
      <c r="AB20">
        <v>11</v>
      </c>
      <c r="AC20">
        <v>11</v>
      </c>
      <c r="AD20">
        <v>12</v>
      </c>
      <c r="AE20">
        <v>12</v>
      </c>
      <c r="AF20">
        <v>12</v>
      </c>
      <c r="AG20">
        <v>12</v>
      </c>
      <c r="AH20">
        <v>12</v>
      </c>
      <c r="AI20">
        <v>12</v>
      </c>
      <c r="AJ20">
        <v>13</v>
      </c>
      <c r="AK20">
        <v>13</v>
      </c>
      <c r="AL20">
        <v>14</v>
      </c>
      <c r="AM20">
        <v>14</v>
      </c>
      <c r="AN20">
        <v>14</v>
      </c>
      <c r="AO20">
        <v>15</v>
      </c>
      <c r="AR20">
        <f t="shared" si="0"/>
        <v>15</v>
      </c>
    </row>
    <row r="21" spans="1:44" x14ac:dyDescent="0.25">
      <c r="A21" s="1">
        <v>12</v>
      </c>
      <c r="B21">
        <v>0</v>
      </c>
      <c r="C21">
        <v>4</v>
      </c>
      <c r="D21">
        <v>4</v>
      </c>
      <c r="E21">
        <v>5</v>
      </c>
      <c r="F21">
        <v>6</v>
      </c>
      <c r="G21">
        <v>6</v>
      </c>
      <c r="H21">
        <v>6</v>
      </c>
      <c r="I21">
        <v>6</v>
      </c>
      <c r="J21">
        <v>6</v>
      </c>
      <c r="K21">
        <v>6</v>
      </c>
      <c r="L21">
        <v>7</v>
      </c>
      <c r="M21">
        <v>7</v>
      </c>
      <c r="N21">
        <v>9</v>
      </c>
      <c r="O21">
        <v>9</v>
      </c>
      <c r="P21">
        <v>9</v>
      </c>
      <c r="Q21">
        <v>10</v>
      </c>
      <c r="R21">
        <v>10</v>
      </c>
      <c r="S21">
        <v>11</v>
      </c>
      <c r="T21">
        <v>11</v>
      </c>
      <c r="U21">
        <v>11</v>
      </c>
      <c r="V21">
        <v>11</v>
      </c>
      <c r="W21">
        <v>12</v>
      </c>
      <c r="X21">
        <v>12</v>
      </c>
      <c r="Y21">
        <v>14</v>
      </c>
      <c r="Z21">
        <v>15</v>
      </c>
      <c r="AA21">
        <v>15</v>
      </c>
      <c r="AB21">
        <v>18</v>
      </c>
      <c r="AC21">
        <v>19</v>
      </c>
      <c r="AD21">
        <v>19</v>
      </c>
      <c r="AE21">
        <v>21</v>
      </c>
      <c r="AF21">
        <v>21</v>
      </c>
      <c r="AG21">
        <v>21</v>
      </c>
      <c r="AH21">
        <v>21</v>
      </c>
      <c r="AI21">
        <v>22</v>
      </c>
      <c r="AJ21">
        <v>22</v>
      </c>
      <c r="AK21">
        <v>24</v>
      </c>
      <c r="AL21">
        <v>25</v>
      </c>
      <c r="AM21">
        <v>25</v>
      </c>
      <c r="AN21">
        <v>25</v>
      </c>
      <c r="AO21">
        <v>25</v>
      </c>
      <c r="AR21">
        <f t="shared" si="0"/>
        <v>25</v>
      </c>
    </row>
    <row r="22" spans="1:44" x14ac:dyDescent="0.25">
      <c r="A22" s="1">
        <v>13</v>
      </c>
      <c r="B22">
        <v>1</v>
      </c>
      <c r="C22">
        <v>2</v>
      </c>
      <c r="D22">
        <v>2</v>
      </c>
      <c r="E22">
        <v>3</v>
      </c>
      <c r="F22">
        <v>3</v>
      </c>
      <c r="G22">
        <v>3</v>
      </c>
      <c r="H22">
        <v>3</v>
      </c>
      <c r="I22">
        <v>4</v>
      </c>
      <c r="J22">
        <v>4</v>
      </c>
      <c r="K22">
        <v>4</v>
      </c>
      <c r="L22">
        <v>4</v>
      </c>
      <c r="M22">
        <v>5</v>
      </c>
      <c r="N22">
        <v>6</v>
      </c>
      <c r="O22">
        <v>7</v>
      </c>
      <c r="P22">
        <v>7</v>
      </c>
      <c r="Q22">
        <v>8</v>
      </c>
      <c r="R22">
        <v>8</v>
      </c>
      <c r="S22">
        <v>9</v>
      </c>
      <c r="T22">
        <v>10</v>
      </c>
      <c r="U22">
        <v>10</v>
      </c>
      <c r="V22">
        <v>10</v>
      </c>
      <c r="W22">
        <v>14</v>
      </c>
      <c r="X22">
        <v>14</v>
      </c>
      <c r="Y22">
        <v>16</v>
      </c>
      <c r="Z22">
        <v>16</v>
      </c>
      <c r="AA22">
        <v>16</v>
      </c>
      <c r="AB22">
        <v>16</v>
      </c>
      <c r="AC22">
        <v>17</v>
      </c>
      <c r="AD22">
        <v>19</v>
      </c>
      <c r="AE22">
        <v>20</v>
      </c>
      <c r="AF22">
        <v>20</v>
      </c>
      <c r="AG22">
        <v>21</v>
      </c>
      <c r="AH22">
        <v>21</v>
      </c>
      <c r="AI22">
        <v>23</v>
      </c>
      <c r="AJ22">
        <v>25</v>
      </c>
      <c r="AK22">
        <v>25</v>
      </c>
      <c r="AL22">
        <v>25</v>
      </c>
      <c r="AM22">
        <v>25</v>
      </c>
      <c r="AN22">
        <v>25</v>
      </c>
      <c r="AO22">
        <v>25</v>
      </c>
      <c r="AR22">
        <f t="shared" si="0"/>
        <v>25</v>
      </c>
    </row>
    <row r="23" spans="1:44" x14ac:dyDescent="0.25">
      <c r="A23" s="1">
        <v>14</v>
      </c>
      <c r="B23">
        <v>0</v>
      </c>
      <c r="C23">
        <v>0</v>
      </c>
      <c r="D23">
        <v>0</v>
      </c>
      <c r="E23">
        <v>0</v>
      </c>
      <c r="F23">
        <v>0</v>
      </c>
      <c r="G23">
        <v>2</v>
      </c>
      <c r="H23">
        <v>2</v>
      </c>
      <c r="I23">
        <v>2</v>
      </c>
      <c r="J23">
        <v>2</v>
      </c>
      <c r="K23">
        <v>2</v>
      </c>
      <c r="L23">
        <v>3</v>
      </c>
      <c r="M23">
        <v>3</v>
      </c>
      <c r="N23">
        <v>4</v>
      </c>
      <c r="O23">
        <v>4</v>
      </c>
      <c r="P23">
        <v>5</v>
      </c>
      <c r="Q23">
        <v>5</v>
      </c>
      <c r="R23">
        <v>5</v>
      </c>
      <c r="S23">
        <v>5</v>
      </c>
      <c r="T23">
        <v>9</v>
      </c>
      <c r="U23">
        <v>9</v>
      </c>
      <c r="V23">
        <v>9</v>
      </c>
      <c r="W23">
        <v>9</v>
      </c>
      <c r="X23">
        <v>10</v>
      </c>
      <c r="Y23">
        <v>10</v>
      </c>
      <c r="Z23">
        <v>12</v>
      </c>
      <c r="AA23">
        <v>13</v>
      </c>
      <c r="AB23">
        <v>15</v>
      </c>
      <c r="AC23">
        <v>18</v>
      </c>
      <c r="AD23">
        <v>18</v>
      </c>
      <c r="AE23">
        <v>18</v>
      </c>
      <c r="AF23">
        <v>20</v>
      </c>
      <c r="AG23">
        <v>20</v>
      </c>
      <c r="AH23">
        <v>20</v>
      </c>
      <c r="AI23">
        <v>21</v>
      </c>
      <c r="AJ23">
        <v>22</v>
      </c>
      <c r="AK23">
        <v>23</v>
      </c>
      <c r="AL23">
        <v>23</v>
      </c>
      <c r="AM23">
        <v>24</v>
      </c>
      <c r="AN23">
        <v>24</v>
      </c>
      <c r="AO23">
        <v>25</v>
      </c>
      <c r="AR23">
        <f t="shared" si="0"/>
        <v>25</v>
      </c>
    </row>
    <row r="24" spans="1:44" x14ac:dyDescent="0.25">
      <c r="A24" s="1">
        <v>15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2</v>
      </c>
      <c r="L24">
        <v>2</v>
      </c>
      <c r="M24">
        <v>2</v>
      </c>
      <c r="N24">
        <v>2</v>
      </c>
      <c r="O24">
        <v>2</v>
      </c>
      <c r="P24">
        <v>2</v>
      </c>
      <c r="Q24">
        <v>2</v>
      </c>
      <c r="R24">
        <v>4</v>
      </c>
      <c r="S24">
        <v>5</v>
      </c>
      <c r="T24">
        <v>6</v>
      </c>
      <c r="U24">
        <v>6</v>
      </c>
      <c r="V24">
        <v>6</v>
      </c>
      <c r="W24">
        <v>6</v>
      </c>
      <c r="X24">
        <v>6</v>
      </c>
      <c r="Y24">
        <v>7</v>
      </c>
      <c r="Z24">
        <v>7</v>
      </c>
      <c r="AA24">
        <v>7</v>
      </c>
      <c r="AB24">
        <v>9</v>
      </c>
      <c r="AC24">
        <v>9</v>
      </c>
      <c r="AD24">
        <v>11</v>
      </c>
      <c r="AE24">
        <v>12</v>
      </c>
      <c r="AF24">
        <v>13</v>
      </c>
      <c r="AG24">
        <v>14</v>
      </c>
      <c r="AH24">
        <v>16</v>
      </c>
      <c r="AI24">
        <v>16</v>
      </c>
      <c r="AJ24">
        <v>16</v>
      </c>
      <c r="AK24">
        <v>17</v>
      </c>
      <c r="AL24">
        <v>17</v>
      </c>
      <c r="AM24">
        <v>17</v>
      </c>
      <c r="AN24">
        <v>18</v>
      </c>
      <c r="AO24">
        <v>18</v>
      </c>
      <c r="AR24">
        <f t="shared" si="0"/>
        <v>18</v>
      </c>
    </row>
    <row r="25" spans="1:44" x14ac:dyDescent="0.25">
      <c r="A25" s="1">
        <v>16</v>
      </c>
      <c r="B25">
        <v>0</v>
      </c>
      <c r="C25">
        <v>2</v>
      </c>
      <c r="D25">
        <v>3</v>
      </c>
      <c r="E25">
        <v>4</v>
      </c>
      <c r="F25">
        <v>5</v>
      </c>
      <c r="G25">
        <v>6</v>
      </c>
      <c r="H25">
        <v>6</v>
      </c>
      <c r="I25">
        <v>6</v>
      </c>
      <c r="J25">
        <v>6</v>
      </c>
      <c r="K25">
        <v>6</v>
      </c>
      <c r="L25">
        <v>6</v>
      </c>
      <c r="M25">
        <v>6</v>
      </c>
      <c r="N25">
        <v>6</v>
      </c>
      <c r="O25">
        <v>7</v>
      </c>
      <c r="P25">
        <v>8</v>
      </c>
      <c r="Q25">
        <v>9</v>
      </c>
      <c r="R25">
        <v>9</v>
      </c>
      <c r="S25">
        <v>10</v>
      </c>
      <c r="T25">
        <v>12</v>
      </c>
      <c r="U25">
        <v>13</v>
      </c>
      <c r="V25">
        <v>14</v>
      </c>
      <c r="W25">
        <v>14</v>
      </c>
      <c r="X25">
        <v>14</v>
      </c>
      <c r="Y25">
        <v>14</v>
      </c>
      <c r="Z25">
        <v>15</v>
      </c>
      <c r="AA25">
        <v>15</v>
      </c>
      <c r="AB25">
        <v>15</v>
      </c>
      <c r="AC25">
        <v>16</v>
      </c>
      <c r="AD25">
        <v>18</v>
      </c>
      <c r="AE25">
        <v>18</v>
      </c>
      <c r="AF25">
        <v>19</v>
      </c>
      <c r="AG25">
        <v>21</v>
      </c>
      <c r="AH25">
        <v>23</v>
      </c>
      <c r="AI25">
        <v>23</v>
      </c>
      <c r="AJ25">
        <v>25</v>
      </c>
      <c r="AK25">
        <v>25</v>
      </c>
      <c r="AL25">
        <v>25</v>
      </c>
      <c r="AM25">
        <v>25</v>
      </c>
      <c r="AN25">
        <v>25</v>
      </c>
      <c r="AO25">
        <v>25</v>
      </c>
      <c r="AR25">
        <f t="shared" si="0"/>
        <v>25</v>
      </c>
    </row>
    <row r="26" spans="1:44" x14ac:dyDescent="0.25">
      <c r="A26" s="1">
        <v>17</v>
      </c>
      <c r="B26">
        <v>0</v>
      </c>
      <c r="C26">
        <v>0</v>
      </c>
      <c r="D26">
        <v>1</v>
      </c>
      <c r="E26">
        <v>2</v>
      </c>
      <c r="F26">
        <v>3</v>
      </c>
      <c r="G26">
        <v>3</v>
      </c>
      <c r="H26">
        <v>3</v>
      </c>
      <c r="I26">
        <v>4</v>
      </c>
      <c r="J26">
        <v>6</v>
      </c>
      <c r="K26">
        <v>6</v>
      </c>
      <c r="L26">
        <v>7</v>
      </c>
      <c r="M26">
        <v>7</v>
      </c>
      <c r="N26">
        <v>7</v>
      </c>
      <c r="O26">
        <v>7</v>
      </c>
      <c r="P26">
        <v>8</v>
      </c>
      <c r="Q26">
        <v>9</v>
      </c>
      <c r="R26">
        <v>9</v>
      </c>
      <c r="S26">
        <v>9</v>
      </c>
      <c r="T26">
        <v>9</v>
      </c>
      <c r="U26">
        <v>10</v>
      </c>
      <c r="V26">
        <v>10</v>
      </c>
      <c r="W26">
        <v>10</v>
      </c>
      <c r="X26">
        <v>11</v>
      </c>
      <c r="Y26">
        <v>12</v>
      </c>
      <c r="Z26">
        <v>13</v>
      </c>
      <c r="AA26">
        <v>14</v>
      </c>
      <c r="AB26">
        <v>14</v>
      </c>
      <c r="AC26">
        <v>15</v>
      </c>
      <c r="AD26">
        <v>16</v>
      </c>
      <c r="AE26">
        <v>17</v>
      </c>
      <c r="AF26">
        <v>17</v>
      </c>
      <c r="AG26">
        <v>17</v>
      </c>
      <c r="AH26">
        <v>17</v>
      </c>
      <c r="AI26">
        <v>18</v>
      </c>
      <c r="AJ26">
        <v>18</v>
      </c>
      <c r="AK26">
        <v>19</v>
      </c>
      <c r="AL26">
        <v>21</v>
      </c>
      <c r="AM26">
        <v>22</v>
      </c>
      <c r="AN26">
        <v>22</v>
      </c>
      <c r="AO26">
        <v>22</v>
      </c>
      <c r="AR26">
        <f t="shared" si="0"/>
        <v>22</v>
      </c>
    </row>
    <row r="27" spans="1:44" x14ac:dyDescent="0.25">
      <c r="A27" s="1">
        <v>18</v>
      </c>
      <c r="B27">
        <v>2</v>
      </c>
      <c r="C27">
        <v>4</v>
      </c>
      <c r="D27">
        <v>4</v>
      </c>
      <c r="E27">
        <v>4</v>
      </c>
      <c r="F27">
        <v>6</v>
      </c>
      <c r="G27">
        <v>6</v>
      </c>
      <c r="H27">
        <v>7</v>
      </c>
      <c r="I27">
        <v>8</v>
      </c>
      <c r="J27">
        <v>8</v>
      </c>
      <c r="K27">
        <v>9</v>
      </c>
      <c r="L27">
        <v>9</v>
      </c>
      <c r="M27">
        <v>9</v>
      </c>
      <c r="N27">
        <v>10</v>
      </c>
      <c r="O27">
        <v>10</v>
      </c>
      <c r="P27">
        <v>10</v>
      </c>
      <c r="Q27">
        <v>10</v>
      </c>
      <c r="R27">
        <v>11</v>
      </c>
      <c r="S27">
        <v>11</v>
      </c>
      <c r="T27">
        <v>11</v>
      </c>
      <c r="U27">
        <v>12</v>
      </c>
      <c r="V27">
        <v>12</v>
      </c>
      <c r="W27">
        <v>14</v>
      </c>
      <c r="X27">
        <v>14</v>
      </c>
      <c r="Y27">
        <v>15</v>
      </c>
      <c r="Z27">
        <v>15</v>
      </c>
      <c r="AA27">
        <v>16</v>
      </c>
      <c r="AB27">
        <v>16</v>
      </c>
      <c r="AC27">
        <v>17</v>
      </c>
      <c r="AD27">
        <v>18</v>
      </c>
      <c r="AE27">
        <v>18</v>
      </c>
      <c r="AF27">
        <v>19</v>
      </c>
      <c r="AG27">
        <v>20</v>
      </c>
      <c r="AH27">
        <v>23</v>
      </c>
      <c r="AI27">
        <v>24</v>
      </c>
      <c r="AJ27">
        <v>25</v>
      </c>
      <c r="AK27">
        <v>25</v>
      </c>
      <c r="AL27">
        <v>25</v>
      </c>
      <c r="AM27">
        <v>25</v>
      </c>
      <c r="AN27">
        <v>25</v>
      </c>
      <c r="AO27">
        <v>25</v>
      </c>
      <c r="AR27">
        <f t="shared" si="0"/>
        <v>25</v>
      </c>
    </row>
    <row r="28" spans="1:44" x14ac:dyDescent="0.25">
      <c r="A28" s="1">
        <v>19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4</v>
      </c>
      <c r="N28">
        <v>5</v>
      </c>
      <c r="O28">
        <v>7</v>
      </c>
      <c r="P28">
        <v>7</v>
      </c>
      <c r="Q28">
        <v>8</v>
      </c>
      <c r="R28">
        <v>11</v>
      </c>
      <c r="S28">
        <v>11</v>
      </c>
      <c r="T28">
        <v>11</v>
      </c>
      <c r="U28">
        <v>11</v>
      </c>
      <c r="V28">
        <v>12</v>
      </c>
      <c r="W28">
        <v>13</v>
      </c>
      <c r="X28">
        <v>13</v>
      </c>
      <c r="Y28">
        <v>15</v>
      </c>
      <c r="Z28">
        <v>17</v>
      </c>
      <c r="AA28">
        <v>19</v>
      </c>
      <c r="AB28">
        <v>19</v>
      </c>
      <c r="AC28">
        <v>21</v>
      </c>
      <c r="AD28">
        <v>22</v>
      </c>
      <c r="AE28">
        <v>22</v>
      </c>
      <c r="AF28">
        <v>22</v>
      </c>
      <c r="AG28">
        <v>24</v>
      </c>
      <c r="AH28">
        <v>25</v>
      </c>
      <c r="AI28">
        <v>25</v>
      </c>
      <c r="AJ28">
        <v>25</v>
      </c>
      <c r="AK28">
        <v>25</v>
      </c>
      <c r="AL28">
        <v>25</v>
      </c>
      <c r="AM28">
        <v>25</v>
      </c>
      <c r="AN28">
        <v>25</v>
      </c>
      <c r="AO28">
        <v>25</v>
      </c>
      <c r="AR28">
        <f t="shared" si="0"/>
        <v>25</v>
      </c>
    </row>
    <row r="29" spans="1:44" x14ac:dyDescent="0.25">
      <c r="A29" s="1">
        <v>20</v>
      </c>
      <c r="B29">
        <v>0</v>
      </c>
      <c r="C29">
        <v>0</v>
      </c>
      <c r="D29">
        <v>0</v>
      </c>
      <c r="E29">
        <v>1</v>
      </c>
      <c r="F29">
        <v>1</v>
      </c>
      <c r="G29">
        <v>1</v>
      </c>
      <c r="H29">
        <v>3</v>
      </c>
      <c r="I29">
        <v>3</v>
      </c>
      <c r="J29">
        <v>4</v>
      </c>
      <c r="K29">
        <v>4</v>
      </c>
      <c r="L29">
        <v>5</v>
      </c>
      <c r="M29">
        <v>5</v>
      </c>
      <c r="N29">
        <v>6</v>
      </c>
      <c r="O29">
        <v>6</v>
      </c>
      <c r="P29">
        <v>6</v>
      </c>
      <c r="Q29">
        <v>7</v>
      </c>
      <c r="R29">
        <v>8</v>
      </c>
      <c r="S29">
        <v>8</v>
      </c>
      <c r="T29">
        <v>8</v>
      </c>
      <c r="U29">
        <v>8</v>
      </c>
      <c r="V29">
        <v>8</v>
      </c>
      <c r="W29">
        <v>10</v>
      </c>
      <c r="X29">
        <v>11</v>
      </c>
      <c r="Y29">
        <v>11</v>
      </c>
      <c r="Z29">
        <v>12</v>
      </c>
      <c r="AA29">
        <v>12</v>
      </c>
      <c r="AB29">
        <v>12</v>
      </c>
      <c r="AC29">
        <v>12</v>
      </c>
      <c r="AD29">
        <v>12</v>
      </c>
      <c r="AE29">
        <v>12</v>
      </c>
      <c r="AF29">
        <v>13</v>
      </c>
      <c r="AG29">
        <v>13</v>
      </c>
      <c r="AH29">
        <v>14</v>
      </c>
      <c r="AI29">
        <v>14</v>
      </c>
      <c r="AJ29">
        <v>15</v>
      </c>
      <c r="AK29">
        <v>15</v>
      </c>
      <c r="AL29">
        <v>16</v>
      </c>
      <c r="AM29">
        <v>17</v>
      </c>
      <c r="AN29">
        <v>17</v>
      </c>
      <c r="AO29">
        <v>18</v>
      </c>
      <c r="AR29">
        <f t="shared" si="0"/>
        <v>18</v>
      </c>
    </row>
    <row r="30" spans="1:44" x14ac:dyDescent="0.25">
      <c r="E30" s="11"/>
      <c r="I30" s="11"/>
      <c r="M30" s="11"/>
      <c r="AQ30" s="7" t="s">
        <v>0</v>
      </c>
      <c r="AR30" s="7">
        <f>AVERAGE(AR10:AR29)</f>
        <v>22.55</v>
      </c>
    </row>
    <row r="31" spans="1:44" x14ac:dyDescent="0.25">
      <c r="E31" s="11"/>
      <c r="I31" s="11"/>
      <c r="M31" s="11"/>
      <c r="AQ31" s="7" t="s">
        <v>1</v>
      </c>
      <c r="AR31" s="12">
        <f>STDEV(AR10:AR29)</f>
        <v>3.5015034364954594</v>
      </c>
    </row>
    <row r="32" spans="1:44" x14ac:dyDescent="0.25">
      <c r="A32" s="1"/>
      <c r="B32" s="4"/>
      <c r="C32" s="4"/>
      <c r="D32" s="4"/>
      <c r="E32" s="23" t="s">
        <v>3</v>
      </c>
      <c r="F32" s="23"/>
      <c r="G32" s="4"/>
      <c r="H32" s="4"/>
      <c r="I32" s="23" t="s">
        <v>4</v>
      </c>
      <c r="J32" s="23"/>
      <c r="K32" s="20"/>
      <c r="L32" s="4"/>
      <c r="M32" s="23" t="s">
        <v>5</v>
      </c>
      <c r="N32" s="23"/>
      <c r="O32" s="20"/>
      <c r="P32" s="4"/>
      <c r="Q32" s="23" t="s">
        <v>8</v>
      </c>
      <c r="R32" s="23"/>
      <c r="S32" s="4"/>
      <c r="T32" s="4"/>
      <c r="U32" s="23" t="s">
        <v>9</v>
      </c>
      <c r="V32" s="23"/>
      <c r="W32" s="4"/>
      <c r="X32" s="4"/>
      <c r="Y32" s="23" t="s">
        <v>10</v>
      </c>
      <c r="Z32" s="23"/>
      <c r="AA32" s="4"/>
      <c r="AB32" s="4"/>
      <c r="AC32" s="23" t="s">
        <v>11</v>
      </c>
      <c r="AD32" s="23"/>
      <c r="AE32" s="4"/>
      <c r="AF32" s="4"/>
      <c r="AG32" s="23" t="s">
        <v>12</v>
      </c>
      <c r="AH32" s="23"/>
      <c r="AI32" s="4"/>
      <c r="AJ32" s="4"/>
      <c r="AK32" s="23" t="s">
        <v>13</v>
      </c>
      <c r="AL32" s="23"/>
      <c r="AM32" s="4"/>
      <c r="AO32" s="24" t="s">
        <v>14</v>
      </c>
      <c r="AP32" s="24"/>
    </row>
    <row r="33" spans="1:44" s="14" customFormat="1" ht="60" customHeight="1" x14ac:dyDescent="0.25">
      <c r="A33" s="13"/>
      <c r="E33" s="15" t="s">
        <v>22</v>
      </c>
      <c r="F33" s="14" t="s">
        <v>7</v>
      </c>
      <c r="I33" s="15" t="s">
        <v>23</v>
      </c>
      <c r="J33" s="14" t="s">
        <v>6</v>
      </c>
      <c r="M33" s="15" t="s">
        <v>23</v>
      </c>
      <c r="N33" s="14" t="s">
        <v>6</v>
      </c>
      <c r="Q33" s="15" t="s">
        <v>23</v>
      </c>
      <c r="R33" s="14" t="s">
        <v>6</v>
      </c>
      <c r="U33" s="15" t="s">
        <v>23</v>
      </c>
      <c r="V33" s="14" t="s">
        <v>6</v>
      </c>
      <c r="Y33" s="15" t="s">
        <v>23</v>
      </c>
      <c r="Z33" s="14" t="s">
        <v>6</v>
      </c>
      <c r="AC33" s="15" t="s">
        <v>23</v>
      </c>
      <c r="AD33" s="14" t="s">
        <v>6</v>
      </c>
      <c r="AG33" s="15" t="s">
        <v>23</v>
      </c>
      <c r="AH33" s="14" t="s">
        <v>6</v>
      </c>
      <c r="AK33" s="15" t="s">
        <v>23</v>
      </c>
      <c r="AL33" s="14" t="s">
        <v>6</v>
      </c>
      <c r="AN33" s="16"/>
      <c r="AO33" s="15" t="s">
        <v>23</v>
      </c>
      <c r="AP33" s="14" t="s">
        <v>6</v>
      </c>
      <c r="AQ33" s="16"/>
      <c r="AR33" s="16"/>
    </row>
    <row r="34" spans="1:44" x14ac:dyDescent="0.25">
      <c r="A34" s="1">
        <v>1</v>
      </c>
      <c r="E34">
        <f>IF(E10&lt;$C$2,E10,"con")</f>
        <v>1</v>
      </c>
      <c r="F34">
        <f t="shared" ref="F34:F53" si="1">IF(E10&lt;$C$2,E10,MAX(E$54,E10-0))</f>
        <v>1</v>
      </c>
      <c r="I34">
        <f>IF(I10&lt;$C$2,I10-E10,"con")</f>
        <v>0</v>
      </c>
      <c r="J34">
        <f>IF(I10&lt;$C$2,I10, E10+MAX(I$54,I10-E10))</f>
        <v>1</v>
      </c>
      <c r="M34">
        <f>IF(M10&lt;$C$2,M10-I10,"con")</f>
        <v>2</v>
      </c>
      <c r="N34">
        <f>IF(M10&lt;$C$2,M10, I10+MAX(M$54,M10-I10))</f>
        <v>3</v>
      </c>
      <c r="Q34">
        <f>IF(R10&lt;$C$2,R10-M10,"con")</f>
        <v>1</v>
      </c>
      <c r="R34">
        <f>IF(R10&lt;$C$2,R10, M10+MAX(Q$54,R10-M10))</f>
        <v>4</v>
      </c>
      <c r="U34">
        <f>IF(U10&lt;$C$2,U10-R10,"con")</f>
        <v>3</v>
      </c>
      <c r="V34">
        <f>IF(U10&lt;$C$2,U10, R10+MAX(U$54,U10-R10))</f>
        <v>7</v>
      </c>
      <c r="Z34">
        <v>13</v>
      </c>
      <c r="AD34">
        <v>14</v>
      </c>
      <c r="AG34">
        <f>IF(AG10&lt;$C$2,AG10-AC10,"con")</f>
        <v>2</v>
      </c>
      <c r="AH34">
        <f>IF(AG10&lt;$C$2,AG10, AC10+MAX(AG$54,AG10-AC10))</f>
        <v>16</v>
      </c>
      <c r="AK34">
        <f>IF(AK10&lt;$C$2,AK10-AG10,"con")</f>
        <v>3</v>
      </c>
      <c r="AL34">
        <f>IF(AK10&lt;$C$2,AK10, MAX(AG10,AH34)+MAX(AK$54,AK10-AG10))</f>
        <v>19</v>
      </c>
      <c r="AO34">
        <f>IF(AO10&lt;$C$2,AO10-AK10,"con")</f>
        <v>4</v>
      </c>
      <c r="AP34">
        <f>IF(AO10&lt;$C$2,AO10, MAX(AK10,AL34)+MAX(AO$54,AO10-AK10))</f>
        <v>23</v>
      </c>
      <c r="AR34" s="5"/>
    </row>
    <row r="35" spans="1:44" x14ac:dyDescent="0.25">
      <c r="A35" s="1">
        <v>2</v>
      </c>
      <c r="E35">
        <f t="shared" ref="E35:E53" si="2">IF(E11&lt;$C$2,E11,"con")</f>
        <v>1</v>
      </c>
      <c r="F35">
        <f t="shared" si="1"/>
        <v>1</v>
      </c>
      <c r="I35">
        <f t="shared" ref="I35:I53" si="3">IF(I11&lt;$C$2,I11-E11,"con")</f>
        <v>0</v>
      </c>
      <c r="J35">
        <f t="shared" ref="J35:J53" si="4">IF(I11&lt;$C$2,I11, E11+MAX(I$54,I11-E11))</f>
        <v>1</v>
      </c>
      <c r="M35">
        <f t="shared" ref="M35:M53" si="5">IF(M11&lt;$C$2,M11-I11,"con")</f>
        <v>3</v>
      </c>
      <c r="N35">
        <f t="shared" ref="N35:N53" si="6">IF(M11&lt;$C$2,M11, I11+MAX(M$54,M11-I11))</f>
        <v>4</v>
      </c>
      <c r="Q35">
        <f t="shared" ref="Q35:Q52" si="7">IF(R11&lt;$C$2,R11-M11,"con")</f>
        <v>10</v>
      </c>
      <c r="R35">
        <f t="shared" ref="R35:R53" si="8">IF(R11&lt;$C$2,R11, M11+MAX(Q$54,R11-M11))</f>
        <v>14</v>
      </c>
      <c r="U35">
        <f t="shared" ref="U35:U53" si="9">IF(U11&lt;$C$2,U11-R11,"con")</f>
        <v>2</v>
      </c>
      <c r="V35">
        <f t="shared" ref="V35:V54" si="10">IF(U11&lt;$C$2,U11, R11+MAX(U$54,U11-R11))</f>
        <v>16</v>
      </c>
      <c r="Z35">
        <v>20</v>
      </c>
      <c r="AD35">
        <v>23</v>
      </c>
      <c r="AG35" t="str">
        <f t="shared" ref="AG35:AG53" si="11">IF(AG11&lt;$C$2,AG11-AC11,"con")</f>
        <v>con</v>
      </c>
      <c r="AH35">
        <f t="shared" ref="AH35:AH53" si="12">IF(AG11&lt;$C$2,AG11, AC11+MAX(AG$54,AG11-AC11))</f>
        <v>25.444444444444443</v>
      </c>
      <c r="AK35" t="str">
        <f t="shared" ref="AK35:AK53" si="13">IF(AK11&lt;$C$2,AK11-AG11,"con")</f>
        <v>con</v>
      </c>
      <c r="AL35">
        <f t="shared" ref="AL35:AL53" si="14">IF(AK11&lt;$C$2,AK11, MAX(AG11,AH35)+MAX(AK$54,AK11-AG11))</f>
        <v>28.361111111111111</v>
      </c>
      <c r="AO35" t="str">
        <f t="shared" ref="AO35:AO53" si="15">IF(AO11&lt;$C$2,AO11-AK11,"con")</f>
        <v>con</v>
      </c>
      <c r="AP35">
        <f t="shared" ref="AP35:AP53" si="16">IF(AO11&lt;$C$2,AO11, MAX(AK11,AL35)+MAX(AO$54,AO11-AK11))</f>
        <v>30.986111111111111</v>
      </c>
    </row>
    <row r="36" spans="1:44" x14ac:dyDescent="0.25">
      <c r="A36" s="1">
        <v>3</v>
      </c>
      <c r="E36">
        <f t="shared" si="2"/>
        <v>2</v>
      </c>
      <c r="F36">
        <f t="shared" si="1"/>
        <v>2</v>
      </c>
      <c r="I36">
        <f t="shared" si="3"/>
        <v>0</v>
      </c>
      <c r="J36">
        <f t="shared" si="4"/>
        <v>2</v>
      </c>
      <c r="M36">
        <f>IF(M12&lt;$C$2,M12-I12,"con")</f>
        <v>2</v>
      </c>
      <c r="N36">
        <f>IF(M12&lt;$C$2,M12, I12+MAX(M$54,M12-I12))</f>
        <v>4</v>
      </c>
      <c r="Q36">
        <f t="shared" si="7"/>
        <v>3</v>
      </c>
      <c r="R36">
        <f t="shared" si="8"/>
        <v>7</v>
      </c>
      <c r="U36">
        <f t="shared" si="9"/>
        <v>3</v>
      </c>
      <c r="V36">
        <f t="shared" si="10"/>
        <v>10</v>
      </c>
      <c r="Z36">
        <v>16</v>
      </c>
      <c r="AD36">
        <v>18</v>
      </c>
      <c r="AG36" t="str">
        <f t="shared" si="11"/>
        <v>con</v>
      </c>
      <c r="AH36">
        <f>IF(AG12&lt;$C$2,AG12, AC12+MAX(AG$54,AG12-AC12))</f>
        <v>25</v>
      </c>
      <c r="AK36" t="str">
        <f t="shared" si="13"/>
        <v>con</v>
      </c>
      <c r="AL36">
        <f t="shared" si="14"/>
        <v>27.916666666666668</v>
      </c>
      <c r="AO36" t="str">
        <f t="shared" si="15"/>
        <v>con</v>
      </c>
      <c r="AP36">
        <f t="shared" si="16"/>
        <v>30.541666666666668</v>
      </c>
    </row>
    <row r="37" spans="1:44" x14ac:dyDescent="0.25">
      <c r="A37" s="1">
        <v>4</v>
      </c>
      <c r="E37">
        <f t="shared" si="2"/>
        <v>1</v>
      </c>
      <c r="F37">
        <f t="shared" si="1"/>
        <v>1</v>
      </c>
      <c r="I37">
        <f t="shared" si="3"/>
        <v>0</v>
      </c>
      <c r="J37">
        <f t="shared" si="4"/>
        <v>1</v>
      </c>
      <c r="M37">
        <f t="shared" si="5"/>
        <v>4</v>
      </c>
      <c r="N37">
        <f t="shared" si="6"/>
        <v>5</v>
      </c>
      <c r="Q37">
        <f t="shared" si="7"/>
        <v>2</v>
      </c>
      <c r="R37">
        <f t="shared" si="8"/>
        <v>7</v>
      </c>
      <c r="U37">
        <f t="shared" si="9"/>
        <v>1</v>
      </c>
      <c r="V37">
        <f t="shared" si="10"/>
        <v>8</v>
      </c>
      <c r="Z37">
        <v>9</v>
      </c>
      <c r="AD37">
        <v>10</v>
      </c>
      <c r="AG37">
        <f t="shared" si="11"/>
        <v>1</v>
      </c>
      <c r="AH37">
        <f t="shared" si="12"/>
        <v>11</v>
      </c>
      <c r="AK37">
        <f t="shared" si="13"/>
        <v>3</v>
      </c>
      <c r="AL37">
        <f t="shared" si="14"/>
        <v>14</v>
      </c>
      <c r="AO37">
        <f t="shared" si="15"/>
        <v>2</v>
      </c>
      <c r="AP37">
        <f t="shared" si="16"/>
        <v>16</v>
      </c>
    </row>
    <row r="38" spans="1:44" x14ac:dyDescent="0.25">
      <c r="A38" s="1">
        <v>5</v>
      </c>
      <c r="E38">
        <f t="shared" si="2"/>
        <v>4</v>
      </c>
      <c r="F38">
        <f t="shared" si="1"/>
        <v>4</v>
      </c>
      <c r="I38">
        <f t="shared" si="3"/>
        <v>5</v>
      </c>
      <c r="J38">
        <f t="shared" si="4"/>
        <v>9</v>
      </c>
      <c r="M38">
        <f t="shared" si="5"/>
        <v>3</v>
      </c>
      <c r="N38">
        <f>IF(M14&lt;$C$2,M14, I14+MAX(M$54,M14-I14))</f>
        <v>12</v>
      </c>
      <c r="Q38">
        <f t="shared" si="7"/>
        <v>2</v>
      </c>
      <c r="R38">
        <f t="shared" si="8"/>
        <v>14</v>
      </c>
      <c r="U38">
        <f t="shared" si="9"/>
        <v>1</v>
      </c>
      <c r="V38">
        <f t="shared" si="10"/>
        <v>15</v>
      </c>
      <c r="Z38">
        <v>19</v>
      </c>
      <c r="AD38">
        <v>21</v>
      </c>
      <c r="AG38">
        <f t="shared" si="11"/>
        <v>3</v>
      </c>
      <c r="AH38">
        <f t="shared" si="12"/>
        <v>24</v>
      </c>
      <c r="AK38" t="str">
        <f t="shared" si="13"/>
        <v>con</v>
      </c>
      <c r="AL38">
        <f t="shared" si="14"/>
        <v>26.916666666666668</v>
      </c>
      <c r="AO38" t="str">
        <f t="shared" si="15"/>
        <v>con</v>
      </c>
      <c r="AP38">
        <f t="shared" si="16"/>
        <v>29.541666666666668</v>
      </c>
    </row>
    <row r="39" spans="1:44" x14ac:dyDescent="0.25">
      <c r="A39" s="1">
        <v>6</v>
      </c>
      <c r="E39">
        <f t="shared" si="2"/>
        <v>5</v>
      </c>
      <c r="F39">
        <f t="shared" si="1"/>
        <v>5</v>
      </c>
      <c r="I39">
        <f t="shared" si="3"/>
        <v>2</v>
      </c>
      <c r="J39">
        <f t="shared" si="4"/>
        <v>7</v>
      </c>
      <c r="M39">
        <f t="shared" si="5"/>
        <v>2</v>
      </c>
      <c r="N39">
        <f t="shared" si="6"/>
        <v>9</v>
      </c>
      <c r="Q39">
        <f t="shared" si="7"/>
        <v>1</v>
      </c>
      <c r="R39">
        <f t="shared" si="8"/>
        <v>10</v>
      </c>
      <c r="U39">
        <f t="shared" si="9"/>
        <v>1</v>
      </c>
      <c r="V39">
        <f t="shared" si="10"/>
        <v>11</v>
      </c>
      <c r="Z39">
        <v>16</v>
      </c>
      <c r="AD39">
        <v>20</v>
      </c>
      <c r="AG39">
        <f t="shared" si="11"/>
        <v>1</v>
      </c>
      <c r="AH39">
        <f t="shared" si="12"/>
        <v>21</v>
      </c>
      <c r="AK39" t="str">
        <f t="shared" si="13"/>
        <v>con</v>
      </c>
      <c r="AL39">
        <f t="shared" si="14"/>
        <v>25</v>
      </c>
      <c r="AO39" t="str">
        <f t="shared" si="15"/>
        <v>con</v>
      </c>
      <c r="AP39">
        <f t="shared" si="16"/>
        <v>27.625</v>
      </c>
    </row>
    <row r="40" spans="1:44" x14ac:dyDescent="0.25">
      <c r="A40" s="1">
        <v>7</v>
      </c>
      <c r="E40">
        <f t="shared" si="2"/>
        <v>2</v>
      </c>
      <c r="F40">
        <f t="shared" si="1"/>
        <v>2</v>
      </c>
      <c r="I40">
        <f t="shared" si="3"/>
        <v>1</v>
      </c>
      <c r="J40">
        <f t="shared" si="4"/>
        <v>3</v>
      </c>
      <c r="M40">
        <f t="shared" si="5"/>
        <v>5</v>
      </c>
      <c r="N40">
        <f t="shared" si="6"/>
        <v>8</v>
      </c>
      <c r="Q40">
        <f t="shared" si="7"/>
        <v>3</v>
      </c>
      <c r="R40">
        <f t="shared" si="8"/>
        <v>11</v>
      </c>
      <c r="U40">
        <f t="shared" si="9"/>
        <v>3</v>
      </c>
      <c r="V40">
        <f t="shared" si="10"/>
        <v>14</v>
      </c>
      <c r="Z40">
        <v>14</v>
      </c>
      <c r="AD40">
        <v>16</v>
      </c>
      <c r="AG40">
        <f t="shared" si="11"/>
        <v>2</v>
      </c>
      <c r="AH40">
        <f t="shared" si="12"/>
        <v>18</v>
      </c>
      <c r="AK40">
        <f t="shared" si="13"/>
        <v>5</v>
      </c>
      <c r="AL40">
        <f t="shared" si="14"/>
        <v>23</v>
      </c>
      <c r="AO40" t="str">
        <f t="shared" si="15"/>
        <v>con</v>
      </c>
      <c r="AP40">
        <f t="shared" si="16"/>
        <v>25.625</v>
      </c>
    </row>
    <row r="41" spans="1:44" x14ac:dyDescent="0.25">
      <c r="A41" s="1">
        <v>8</v>
      </c>
      <c r="E41">
        <f t="shared" si="2"/>
        <v>0</v>
      </c>
      <c r="F41">
        <f t="shared" si="1"/>
        <v>0</v>
      </c>
      <c r="I41">
        <f t="shared" si="3"/>
        <v>0</v>
      </c>
      <c r="J41">
        <f t="shared" si="4"/>
        <v>0</v>
      </c>
      <c r="M41">
        <f t="shared" si="5"/>
        <v>4</v>
      </c>
      <c r="N41">
        <f t="shared" si="6"/>
        <v>4</v>
      </c>
      <c r="Q41">
        <f t="shared" si="7"/>
        <v>2</v>
      </c>
      <c r="R41">
        <f t="shared" si="8"/>
        <v>6</v>
      </c>
      <c r="U41">
        <f t="shared" si="9"/>
        <v>1</v>
      </c>
      <c r="V41">
        <f t="shared" si="10"/>
        <v>7</v>
      </c>
      <c r="Z41">
        <v>9</v>
      </c>
      <c r="AD41">
        <v>12</v>
      </c>
      <c r="AG41">
        <f t="shared" si="11"/>
        <v>2</v>
      </c>
      <c r="AH41">
        <f t="shared" si="12"/>
        <v>14</v>
      </c>
      <c r="AK41">
        <f t="shared" si="13"/>
        <v>3</v>
      </c>
      <c r="AL41">
        <f t="shared" si="14"/>
        <v>17</v>
      </c>
      <c r="AO41">
        <f t="shared" si="15"/>
        <v>2</v>
      </c>
      <c r="AP41">
        <f t="shared" si="16"/>
        <v>19</v>
      </c>
    </row>
    <row r="42" spans="1:44" x14ac:dyDescent="0.25">
      <c r="A42" s="1">
        <v>9</v>
      </c>
      <c r="E42">
        <f t="shared" si="2"/>
        <v>0</v>
      </c>
      <c r="F42">
        <f t="shared" si="1"/>
        <v>0</v>
      </c>
      <c r="I42">
        <f t="shared" si="3"/>
        <v>4</v>
      </c>
      <c r="J42">
        <f t="shared" si="4"/>
        <v>4</v>
      </c>
      <c r="M42">
        <f t="shared" si="5"/>
        <v>1</v>
      </c>
      <c r="N42">
        <f t="shared" si="6"/>
        <v>5</v>
      </c>
      <c r="Q42">
        <f t="shared" si="7"/>
        <v>2</v>
      </c>
      <c r="R42">
        <f t="shared" si="8"/>
        <v>7</v>
      </c>
      <c r="U42">
        <f t="shared" si="9"/>
        <v>0</v>
      </c>
      <c r="V42">
        <f t="shared" si="10"/>
        <v>7</v>
      </c>
      <c r="Z42">
        <v>8</v>
      </c>
      <c r="AD42">
        <v>10</v>
      </c>
      <c r="AG42">
        <f t="shared" si="11"/>
        <v>3</v>
      </c>
      <c r="AH42">
        <f t="shared" si="12"/>
        <v>13</v>
      </c>
      <c r="AK42">
        <f t="shared" si="13"/>
        <v>3</v>
      </c>
      <c r="AL42">
        <f t="shared" si="14"/>
        <v>16</v>
      </c>
      <c r="AO42">
        <f t="shared" si="15"/>
        <v>4</v>
      </c>
      <c r="AP42">
        <f t="shared" si="16"/>
        <v>20</v>
      </c>
    </row>
    <row r="43" spans="1:44" x14ac:dyDescent="0.25">
      <c r="A43" s="1">
        <v>10</v>
      </c>
      <c r="E43">
        <f t="shared" si="2"/>
        <v>3</v>
      </c>
      <c r="F43">
        <f t="shared" si="1"/>
        <v>3</v>
      </c>
      <c r="I43">
        <f t="shared" si="3"/>
        <v>0</v>
      </c>
      <c r="J43">
        <f t="shared" si="4"/>
        <v>3</v>
      </c>
      <c r="M43">
        <f t="shared" si="5"/>
        <v>2</v>
      </c>
      <c r="N43">
        <f t="shared" si="6"/>
        <v>5</v>
      </c>
      <c r="Q43">
        <f t="shared" si="7"/>
        <v>5</v>
      </c>
      <c r="R43">
        <f t="shared" si="8"/>
        <v>10</v>
      </c>
      <c r="U43">
        <f t="shared" si="9"/>
        <v>0</v>
      </c>
      <c r="V43">
        <f t="shared" si="10"/>
        <v>10</v>
      </c>
      <c r="Z43">
        <v>14</v>
      </c>
      <c r="AD43">
        <v>15</v>
      </c>
      <c r="AG43">
        <f t="shared" si="11"/>
        <v>2</v>
      </c>
      <c r="AH43">
        <f t="shared" si="12"/>
        <v>17</v>
      </c>
      <c r="AK43">
        <f t="shared" si="13"/>
        <v>4</v>
      </c>
      <c r="AL43">
        <f t="shared" si="14"/>
        <v>21</v>
      </c>
      <c r="AO43" t="str">
        <f t="shared" si="15"/>
        <v>con</v>
      </c>
      <c r="AP43">
        <f t="shared" si="16"/>
        <v>25</v>
      </c>
    </row>
    <row r="44" spans="1:44" x14ac:dyDescent="0.25">
      <c r="A44" s="1">
        <v>11</v>
      </c>
      <c r="E44">
        <f t="shared" si="2"/>
        <v>0</v>
      </c>
      <c r="F44">
        <f t="shared" si="1"/>
        <v>0</v>
      </c>
      <c r="I44">
        <f t="shared" si="3"/>
        <v>1</v>
      </c>
      <c r="J44">
        <f t="shared" si="4"/>
        <v>1</v>
      </c>
      <c r="M44">
        <f t="shared" si="5"/>
        <v>3</v>
      </c>
      <c r="N44">
        <f t="shared" si="6"/>
        <v>4</v>
      </c>
      <c r="Q44">
        <f t="shared" si="7"/>
        <v>1</v>
      </c>
      <c r="R44">
        <f t="shared" si="8"/>
        <v>5</v>
      </c>
      <c r="U44">
        <f t="shared" si="9"/>
        <v>2</v>
      </c>
      <c r="V44">
        <f t="shared" si="10"/>
        <v>7</v>
      </c>
      <c r="Z44">
        <v>11</v>
      </c>
      <c r="AD44">
        <v>11</v>
      </c>
      <c r="AG44">
        <f t="shared" si="11"/>
        <v>1</v>
      </c>
      <c r="AH44">
        <f t="shared" si="12"/>
        <v>12</v>
      </c>
      <c r="AK44">
        <f t="shared" si="13"/>
        <v>1</v>
      </c>
      <c r="AL44">
        <f t="shared" si="14"/>
        <v>13</v>
      </c>
      <c r="AO44">
        <f t="shared" si="15"/>
        <v>2</v>
      </c>
      <c r="AP44">
        <f t="shared" si="16"/>
        <v>15</v>
      </c>
    </row>
    <row r="45" spans="1:44" x14ac:dyDescent="0.25">
      <c r="A45" s="1">
        <v>12</v>
      </c>
      <c r="E45">
        <f t="shared" si="2"/>
        <v>5</v>
      </c>
      <c r="F45">
        <f t="shared" si="1"/>
        <v>5</v>
      </c>
      <c r="I45">
        <f t="shared" si="3"/>
        <v>1</v>
      </c>
      <c r="J45">
        <f t="shared" si="4"/>
        <v>6</v>
      </c>
      <c r="M45">
        <f t="shared" si="5"/>
        <v>1</v>
      </c>
      <c r="N45">
        <f t="shared" si="6"/>
        <v>7</v>
      </c>
      <c r="Q45">
        <f t="shared" si="7"/>
        <v>3</v>
      </c>
      <c r="R45">
        <f t="shared" si="8"/>
        <v>10</v>
      </c>
      <c r="U45">
        <f t="shared" si="9"/>
        <v>1</v>
      </c>
      <c r="V45">
        <f t="shared" si="10"/>
        <v>11</v>
      </c>
      <c r="Z45">
        <v>14</v>
      </c>
      <c r="AD45">
        <v>19</v>
      </c>
      <c r="AG45">
        <f t="shared" si="11"/>
        <v>2</v>
      </c>
      <c r="AH45">
        <f t="shared" si="12"/>
        <v>21</v>
      </c>
      <c r="AK45">
        <f t="shared" si="13"/>
        <v>3</v>
      </c>
      <c r="AL45">
        <f t="shared" si="14"/>
        <v>24</v>
      </c>
      <c r="AO45" t="str">
        <f t="shared" si="15"/>
        <v>con</v>
      </c>
      <c r="AP45">
        <f t="shared" si="16"/>
        <v>26.625</v>
      </c>
    </row>
    <row r="46" spans="1:44" x14ac:dyDescent="0.25">
      <c r="A46" s="1">
        <v>13</v>
      </c>
      <c r="E46">
        <f t="shared" si="2"/>
        <v>3</v>
      </c>
      <c r="F46">
        <f t="shared" si="1"/>
        <v>3</v>
      </c>
      <c r="I46">
        <f t="shared" si="3"/>
        <v>1</v>
      </c>
      <c r="J46">
        <f t="shared" si="4"/>
        <v>4</v>
      </c>
      <c r="M46">
        <f t="shared" si="5"/>
        <v>1</v>
      </c>
      <c r="N46">
        <f t="shared" si="6"/>
        <v>5</v>
      </c>
      <c r="Q46">
        <f t="shared" si="7"/>
        <v>3</v>
      </c>
      <c r="R46">
        <f t="shared" si="8"/>
        <v>8</v>
      </c>
      <c r="U46">
        <f t="shared" si="9"/>
        <v>2</v>
      </c>
      <c r="V46">
        <f t="shared" si="10"/>
        <v>10</v>
      </c>
      <c r="Z46">
        <v>16</v>
      </c>
      <c r="AD46">
        <v>17</v>
      </c>
      <c r="AG46">
        <f t="shared" si="11"/>
        <v>4</v>
      </c>
      <c r="AH46">
        <f t="shared" si="12"/>
        <v>21</v>
      </c>
      <c r="AK46" t="str">
        <f t="shared" si="13"/>
        <v>con</v>
      </c>
      <c r="AL46">
        <f t="shared" si="14"/>
        <v>25</v>
      </c>
      <c r="AO46" t="str">
        <f t="shared" si="15"/>
        <v>con</v>
      </c>
      <c r="AP46">
        <f t="shared" si="16"/>
        <v>27.625</v>
      </c>
    </row>
    <row r="47" spans="1:44" x14ac:dyDescent="0.25">
      <c r="A47" s="1">
        <v>14</v>
      </c>
      <c r="E47">
        <f t="shared" si="2"/>
        <v>0</v>
      </c>
      <c r="F47">
        <f t="shared" si="1"/>
        <v>0</v>
      </c>
      <c r="I47">
        <f t="shared" si="3"/>
        <v>2</v>
      </c>
      <c r="J47">
        <f t="shared" si="4"/>
        <v>2</v>
      </c>
      <c r="M47">
        <f t="shared" si="5"/>
        <v>1</v>
      </c>
      <c r="N47">
        <f t="shared" si="6"/>
        <v>3</v>
      </c>
      <c r="Q47">
        <f t="shared" si="7"/>
        <v>2</v>
      </c>
      <c r="R47">
        <f t="shared" si="8"/>
        <v>5</v>
      </c>
      <c r="U47">
        <f t="shared" si="9"/>
        <v>4</v>
      </c>
      <c r="V47">
        <f t="shared" si="10"/>
        <v>9</v>
      </c>
      <c r="Z47">
        <v>10</v>
      </c>
      <c r="AD47">
        <v>18</v>
      </c>
      <c r="AG47">
        <f t="shared" si="11"/>
        <v>2</v>
      </c>
      <c r="AH47">
        <f t="shared" si="12"/>
        <v>20</v>
      </c>
      <c r="AK47">
        <f t="shared" si="13"/>
        <v>3</v>
      </c>
      <c r="AL47">
        <f t="shared" si="14"/>
        <v>23</v>
      </c>
      <c r="AO47" t="str">
        <f t="shared" si="15"/>
        <v>con</v>
      </c>
      <c r="AP47">
        <f t="shared" si="16"/>
        <v>25.625</v>
      </c>
    </row>
    <row r="48" spans="1:44" x14ac:dyDescent="0.25">
      <c r="A48" s="1">
        <v>15</v>
      </c>
      <c r="E48">
        <f t="shared" si="2"/>
        <v>0</v>
      </c>
      <c r="F48">
        <f t="shared" si="1"/>
        <v>0</v>
      </c>
      <c r="I48">
        <f t="shared" si="3"/>
        <v>0</v>
      </c>
      <c r="J48">
        <f t="shared" si="4"/>
        <v>0</v>
      </c>
      <c r="M48">
        <f t="shared" si="5"/>
        <v>2</v>
      </c>
      <c r="N48">
        <f t="shared" si="6"/>
        <v>2</v>
      </c>
      <c r="Q48">
        <f t="shared" si="7"/>
        <v>2</v>
      </c>
      <c r="R48">
        <f t="shared" si="8"/>
        <v>4</v>
      </c>
      <c r="U48">
        <f t="shared" si="9"/>
        <v>2</v>
      </c>
      <c r="V48">
        <f t="shared" si="10"/>
        <v>6</v>
      </c>
      <c r="Z48">
        <v>7</v>
      </c>
      <c r="AD48">
        <v>9</v>
      </c>
      <c r="AG48">
        <f t="shared" si="11"/>
        <v>5</v>
      </c>
      <c r="AH48">
        <f t="shared" si="12"/>
        <v>14</v>
      </c>
      <c r="AK48">
        <f t="shared" si="13"/>
        <v>3</v>
      </c>
      <c r="AL48">
        <f t="shared" si="14"/>
        <v>17</v>
      </c>
      <c r="AO48">
        <f t="shared" si="15"/>
        <v>1</v>
      </c>
      <c r="AP48">
        <f t="shared" si="16"/>
        <v>18</v>
      </c>
    </row>
    <row r="49" spans="1:42" x14ac:dyDescent="0.25">
      <c r="A49" s="1">
        <v>16</v>
      </c>
      <c r="E49">
        <f t="shared" si="2"/>
        <v>4</v>
      </c>
      <c r="F49">
        <f t="shared" si="1"/>
        <v>4</v>
      </c>
      <c r="I49">
        <f t="shared" si="3"/>
        <v>2</v>
      </c>
      <c r="J49">
        <f t="shared" si="4"/>
        <v>6</v>
      </c>
      <c r="M49">
        <f t="shared" si="5"/>
        <v>0</v>
      </c>
      <c r="N49">
        <f t="shared" si="6"/>
        <v>6</v>
      </c>
      <c r="Q49">
        <f t="shared" si="7"/>
        <v>3</v>
      </c>
      <c r="R49">
        <f t="shared" si="8"/>
        <v>9</v>
      </c>
      <c r="U49">
        <f t="shared" si="9"/>
        <v>4</v>
      </c>
      <c r="V49">
        <f t="shared" si="10"/>
        <v>13</v>
      </c>
      <c r="Z49">
        <v>14</v>
      </c>
      <c r="AD49">
        <v>16</v>
      </c>
      <c r="AG49">
        <f t="shared" si="11"/>
        <v>5</v>
      </c>
      <c r="AH49">
        <f t="shared" si="12"/>
        <v>21</v>
      </c>
      <c r="AK49" t="str">
        <f t="shared" si="13"/>
        <v>con</v>
      </c>
      <c r="AL49">
        <f t="shared" si="14"/>
        <v>25</v>
      </c>
      <c r="AO49" t="str">
        <f t="shared" si="15"/>
        <v>con</v>
      </c>
      <c r="AP49">
        <f t="shared" si="16"/>
        <v>27.625</v>
      </c>
    </row>
    <row r="50" spans="1:42" x14ac:dyDescent="0.25">
      <c r="A50" s="1">
        <v>17</v>
      </c>
      <c r="E50">
        <f t="shared" si="2"/>
        <v>2</v>
      </c>
      <c r="F50">
        <f t="shared" si="1"/>
        <v>2</v>
      </c>
      <c r="I50">
        <f t="shared" si="3"/>
        <v>2</v>
      </c>
      <c r="J50">
        <f t="shared" si="4"/>
        <v>4</v>
      </c>
      <c r="M50">
        <f t="shared" si="5"/>
        <v>3</v>
      </c>
      <c r="N50">
        <f t="shared" si="6"/>
        <v>7</v>
      </c>
      <c r="Q50">
        <f t="shared" si="7"/>
        <v>2</v>
      </c>
      <c r="R50">
        <f t="shared" si="8"/>
        <v>9</v>
      </c>
      <c r="U50">
        <f t="shared" si="9"/>
        <v>1</v>
      </c>
      <c r="V50">
        <f t="shared" si="10"/>
        <v>10</v>
      </c>
      <c r="Z50">
        <v>12</v>
      </c>
      <c r="AD50">
        <v>15</v>
      </c>
      <c r="AG50">
        <f t="shared" si="11"/>
        <v>2</v>
      </c>
      <c r="AH50">
        <f t="shared" si="12"/>
        <v>17</v>
      </c>
      <c r="AK50">
        <f t="shared" si="13"/>
        <v>2</v>
      </c>
      <c r="AL50">
        <f t="shared" si="14"/>
        <v>19</v>
      </c>
      <c r="AO50">
        <f t="shared" si="15"/>
        <v>3</v>
      </c>
      <c r="AP50">
        <f t="shared" si="16"/>
        <v>22</v>
      </c>
    </row>
    <row r="51" spans="1:42" x14ac:dyDescent="0.25">
      <c r="A51" s="1">
        <v>18</v>
      </c>
      <c r="E51">
        <f t="shared" si="2"/>
        <v>4</v>
      </c>
      <c r="F51">
        <f t="shared" si="1"/>
        <v>4</v>
      </c>
      <c r="I51">
        <f t="shared" si="3"/>
        <v>4</v>
      </c>
      <c r="J51">
        <f t="shared" si="4"/>
        <v>8</v>
      </c>
      <c r="M51">
        <f t="shared" si="5"/>
        <v>1</v>
      </c>
      <c r="N51">
        <f t="shared" si="6"/>
        <v>9</v>
      </c>
      <c r="Q51">
        <f t="shared" si="7"/>
        <v>2</v>
      </c>
      <c r="R51">
        <f t="shared" si="8"/>
        <v>11</v>
      </c>
      <c r="U51">
        <f t="shared" si="9"/>
        <v>1</v>
      </c>
      <c r="V51">
        <f t="shared" si="10"/>
        <v>12</v>
      </c>
      <c r="Z51">
        <v>15</v>
      </c>
      <c r="AD51">
        <v>17</v>
      </c>
      <c r="AG51">
        <f t="shared" si="11"/>
        <v>3</v>
      </c>
      <c r="AH51">
        <f t="shared" si="12"/>
        <v>20</v>
      </c>
      <c r="AK51" t="str">
        <f t="shared" si="13"/>
        <v>con</v>
      </c>
      <c r="AL51">
        <f t="shared" si="14"/>
        <v>25</v>
      </c>
      <c r="AO51" t="str">
        <f t="shared" si="15"/>
        <v>con</v>
      </c>
      <c r="AP51">
        <f t="shared" si="16"/>
        <v>27.625</v>
      </c>
    </row>
    <row r="52" spans="1:42" x14ac:dyDescent="0.25">
      <c r="A52" s="1">
        <v>19</v>
      </c>
      <c r="E52">
        <f t="shared" si="2"/>
        <v>0</v>
      </c>
      <c r="F52">
        <f t="shared" si="1"/>
        <v>0</v>
      </c>
      <c r="I52">
        <f t="shared" si="3"/>
        <v>0</v>
      </c>
      <c r="J52">
        <f t="shared" si="4"/>
        <v>0</v>
      </c>
      <c r="M52">
        <f t="shared" si="5"/>
        <v>4</v>
      </c>
      <c r="N52">
        <f t="shared" si="6"/>
        <v>4</v>
      </c>
      <c r="Q52">
        <f t="shared" si="7"/>
        <v>7</v>
      </c>
      <c r="R52">
        <f t="shared" si="8"/>
        <v>11</v>
      </c>
      <c r="U52">
        <f t="shared" si="9"/>
        <v>0</v>
      </c>
      <c r="V52">
        <f t="shared" si="10"/>
        <v>11</v>
      </c>
      <c r="Z52">
        <v>15</v>
      </c>
      <c r="AD52">
        <v>21</v>
      </c>
      <c r="AG52">
        <f t="shared" si="11"/>
        <v>3</v>
      </c>
      <c r="AH52">
        <f t="shared" si="12"/>
        <v>24</v>
      </c>
      <c r="AK52" t="str">
        <f t="shared" si="13"/>
        <v>con</v>
      </c>
      <c r="AL52">
        <f t="shared" si="14"/>
        <v>26.916666666666668</v>
      </c>
      <c r="AO52" t="str">
        <f t="shared" si="15"/>
        <v>con</v>
      </c>
      <c r="AP52">
        <f t="shared" si="16"/>
        <v>29.541666666666668</v>
      </c>
    </row>
    <row r="53" spans="1:42" x14ac:dyDescent="0.25">
      <c r="A53" s="1">
        <v>20</v>
      </c>
      <c r="E53">
        <f t="shared" si="2"/>
        <v>1</v>
      </c>
      <c r="F53">
        <f t="shared" si="1"/>
        <v>1</v>
      </c>
      <c r="I53">
        <f t="shared" si="3"/>
        <v>2</v>
      </c>
      <c r="J53">
        <f t="shared" si="4"/>
        <v>3</v>
      </c>
      <c r="M53">
        <f t="shared" si="5"/>
        <v>2</v>
      </c>
      <c r="N53">
        <f t="shared" si="6"/>
        <v>5</v>
      </c>
      <c r="Q53">
        <f>IF(R29&lt;$C$2,R29-M29,"con")</f>
        <v>3</v>
      </c>
      <c r="R53">
        <f t="shared" si="8"/>
        <v>8</v>
      </c>
      <c r="U53">
        <f t="shared" si="9"/>
        <v>0</v>
      </c>
      <c r="V53">
        <f t="shared" si="10"/>
        <v>8</v>
      </c>
      <c r="Z53">
        <v>11</v>
      </c>
      <c r="AD53">
        <v>12</v>
      </c>
      <c r="AG53">
        <f t="shared" si="11"/>
        <v>1</v>
      </c>
      <c r="AH53">
        <f t="shared" si="12"/>
        <v>13</v>
      </c>
      <c r="AK53">
        <f t="shared" si="13"/>
        <v>2</v>
      </c>
      <c r="AL53">
        <f t="shared" si="14"/>
        <v>15</v>
      </c>
      <c r="AO53">
        <f t="shared" si="15"/>
        <v>3</v>
      </c>
      <c r="AP53">
        <f t="shared" si="16"/>
        <v>18</v>
      </c>
    </row>
    <row r="54" spans="1:42" x14ac:dyDescent="0.25">
      <c r="A54" t="s">
        <v>2</v>
      </c>
      <c r="E54">
        <f>AVERAGE(E34:E53)</f>
        <v>1.9</v>
      </c>
      <c r="I54">
        <f>AVERAGE(I34:I53)</f>
        <v>1.35</v>
      </c>
      <c r="M54">
        <f>AVERAGE(M34:M53)</f>
        <v>2.2999999999999998</v>
      </c>
      <c r="Q54">
        <f>AVERAGE(Q34:Q53)</f>
        <v>2.95</v>
      </c>
      <c r="U54">
        <f>AVERAGE(U34:U53)</f>
        <v>1.6</v>
      </c>
      <c r="V54">
        <f t="shared" si="10"/>
        <v>0</v>
      </c>
      <c r="AG54">
        <f>AVERAGE(AG34:AG53)</f>
        <v>2.4444444444444446</v>
      </c>
      <c r="AK54">
        <f>AVERAGE(AK34:AK53)</f>
        <v>2.9166666666666665</v>
      </c>
      <c r="AO54">
        <f>AVERAGE(AO34:AO53)</f>
        <v>2.625</v>
      </c>
    </row>
    <row r="56" spans="1:42" x14ac:dyDescent="0.25">
      <c r="AO56" s="9"/>
      <c r="AP56" s="9"/>
    </row>
    <row r="57" spans="1:42" x14ac:dyDescent="0.25">
      <c r="AO57" s="7" t="s">
        <v>0</v>
      </c>
      <c r="AP57" s="21">
        <f>AVERAGE(AP34:AP53)</f>
        <v>24.249305555555559</v>
      </c>
    </row>
    <row r="58" spans="1:42" x14ac:dyDescent="0.25">
      <c r="AO58" s="7" t="s">
        <v>1</v>
      </c>
      <c r="AP58">
        <f>STDEV(AP34:AP53)</f>
        <v>5.0289195236040731</v>
      </c>
    </row>
  </sheetData>
  <mergeCells count="10">
    <mergeCell ref="AC32:AD32"/>
    <mergeCell ref="AG32:AH32"/>
    <mergeCell ref="AK32:AL32"/>
    <mergeCell ref="AO32:AP32"/>
    <mergeCell ref="E32:F32"/>
    <mergeCell ref="I32:J32"/>
    <mergeCell ref="M32:N32"/>
    <mergeCell ref="Q32:R32"/>
    <mergeCell ref="U32:V32"/>
    <mergeCell ref="Y32:Z32"/>
  </mergeCells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</vt:lpstr>
      <vt:lpstr>AM </vt:lpstr>
    </vt:vector>
  </TitlesOfParts>
  <Company>DCOM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Guangzhi SHANG</cp:lastModifiedBy>
  <dcterms:created xsi:type="dcterms:W3CDTF">2004-03-22T22:37:20Z</dcterms:created>
  <dcterms:modified xsi:type="dcterms:W3CDTF">2019-09-26T22:17:43Z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