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hang\Google Drive\My Teaching\MAR4524 - Consumer Demand\2016 fall\3 newsvendor\"/>
    </mc:Choice>
  </mc:AlternateContent>
  <bookViews>
    <workbookView xWindow="120" yWindow="180" windowWidth="10850" windowHeight="4880" activeTab="2"/>
  </bookViews>
  <sheets>
    <sheet name="simulate normal" sheetId="11" r:id="rId1"/>
    <sheet name="simulate normal long" sheetId="12" r:id="rId2"/>
    <sheet name="simulate profit" sheetId="14" r:id="rId3"/>
    <sheet name="integrated example" sheetId="10" r:id="rId4"/>
    <sheet name="BarChart" sheetId="2" r:id="rId5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Lookup" localSheetId="3">'integrated example'!$D$20:$F$24</definedName>
    <definedName name="Lookup" localSheetId="1">#REF!</definedName>
    <definedName name="Lookup">#REF!</definedName>
    <definedName name="Pal_Workbook_GUID" hidden="1">"NRPUZ8ECBWT5R9H3M2Y9I7MT"</definedName>
    <definedName name="PalisadeReportWorkbookCreatedBy">"AtRisk"</definedName>
    <definedName name="penalty" localSheetId="3">#REF!</definedName>
    <definedName name="penalty" localSheetId="1">#REF!</definedName>
    <definedName name="penalty">#REF!</definedName>
    <definedName name="penalty2" localSheetId="3">'integrated example'!$B$20</definedName>
    <definedName name="penalty2" localSheetId="1">#REF!</definedName>
    <definedName name="penalty2">#REF!</definedName>
    <definedName name="penalty3" localSheetId="1">#REF!</definedName>
    <definedName name="penalty3">#REF!</definedName>
    <definedName name="profits">'integrated example'!$G$36:$G$135</definedName>
    <definedName name="Profits2" localSheetId="1">#REF!</definedName>
    <definedName name="Profits2">#REF!</definedName>
    <definedName name="qnty" localSheetId="3">'integrated example'!$B$24</definedName>
    <definedName name="qnty" localSheetId="1">#REF!</definedName>
    <definedName name="qnty">#REF!</definedName>
    <definedName name="qnty3" localSheetId="1">#REF!</definedName>
    <definedName name="qnty3">#REF!</definedName>
    <definedName name="rate" localSheetId="3">#REF!</definedName>
    <definedName name="rate" localSheetId="1">#REF!</definedName>
    <definedName name="rate">#REF!</definedName>
    <definedName name="rate2" localSheetId="3">'integrated example'!$B$19</definedName>
    <definedName name="rate2" localSheetId="1">#REF!</definedName>
    <definedName name="rate2">#REF!</definedName>
    <definedName name="rate3" localSheetId="1">#REF!</definedName>
    <definedName name="rate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3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3" hidden="1">100</definedName>
    <definedName name="RiskNumIterations" hidden="1">100</definedName>
    <definedName name="RiskNumSimulations" localSheetId="3" hidden="1">1</definedName>
    <definedName name="RiskNumSimulations" hidden="1">1</definedName>
    <definedName name="RiskPauseOnError" hidden="1">FALSE</definedName>
    <definedName name="RiskRealTimeResults">FALSE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StatFunctionsUpdateFreq">1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ooms" localSheetId="3">#REF!</definedName>
    <definedName name="rooms" localSheetId="1">#REF!</definedName>
    <definedName name="rooms">#REF!</definedName>
    <definedName name="rooms2" localSheetId="3">'integrated example'!$B$21</definedName>
    <definedName name="rooms2" localSheetId="1">#REF!</definedName>
    <definedName name="rooms2">#REF!</definedName>
    <definedName name="rooms3" localSheetId="1">#REF!</definedName>
    <definedName name="rooms3">#REF!</definedName>
  </definedNames>
  <calcPr calcId="162913"/>
</workbook>
</file>

<file path=xl/calcChain.xml><?xml version="1.0" encoding="utf-8"?>
<calcChain xmlns="http://schemas.openxmlformats.org/spreadsheetml/2006/main">
  <c r="D4" i="14" l="1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3" i="14"/>
  <c r="B4" i="11"/>
  <c r="C4" i="11" s="1"/>
  <c r="B5" i="11"/>
  <c r="D5" i="11" s="1"/>
  <c r="B6" i="11"/>
  <c r="C6" i="11" s="1"/>
  <c r="B7" i="11"/>
  <c r="C7" i="11" s="1"/>
  <c r="B8" i="11"/>
  <c r="C8" i="11" s="1"/>
  <c r="B9" i="11"/>
  <c r="D9" i="11" s="1"/>
  <c r="B10" i="11"/>
  <c r="C10" i="11" s="1"/>
  <c r="B11" i="11"/>
  <c r="C11" i="11" s="1"/>
  <c r="B12" i="11"/>
  <c r="C12" i="11" s="1"/>
  <c r="B13" i="11"/>
  <c r="D13" i="11" s="1"/>
  <c r="B14" i="11"/>
  <c r="C14" i="11" s="1"/>
  <c r="B15" i="11"/>
  <c r="C15" i="11" s="1"/>
  <c r="B16" i="11"/>
  <c r="C16" i="11" s="1"/>
  <c r="B17" i="11"/>
  <c r="D17" i="11" s="1"/>
  <c r="B18" i="11"/>
  <c r="C18" i="11" s="1"/>
  <c r="B19" i="11"/>
  <c r="C19" i="11" s="1"/>
  <c r="B20" i="11"/>
  <c r="C20" i="11" s="1"/>
  <c r="B21" i="11"/>
  <c r="D21" i="11" s="1"/>
  <c r="B22" i="11"/>
  <c r="C22" i="11" s="1"/>
  <c r="B23" i="11"/>
  <c r="C23" i="11" s="1"/>
  <c r="B24" i="11"/>
  <c r="C24" i="11" s="1"/>
  <c r="B25" i="11"/>
  <c r="D25" i="11" s="1"/>
  <c r="B26" i="11"/>
  <c r="C26" i="11" s="1"/>
  <c r="B27" i="11"/>
  <c r="C27" i="11" s="1"/>
  <c r="B28" i="11"/>
  <c r="C28" i="11" s="1"/>
  <c r="B29" i="11"/>
  <c r="D29" i="11" s="1"/>
  <c r="B30" i="11"/>
  <c r="C30" i="11" s="1"/>
  <c r="B31" i="11"/>
  <c r="C31" i="11" s="1"/>
  <c r="B32" i="11"/>
  <c r="C32" i="11" s="1"/>
  <c r="B33" i="11"/>
  <c r="D33" i="11" s="1"/>
  <c r="B34" i="11"/>
  <c r="C34" i="11" s="1"/>
  <c r="B35" i="11"/>
  <c r="C35" i="11" s="1"/>
  <c r="B36" i="11"/>
  <c r="C36" i="11" s="1"/>
  <c r="B37" i="11"/>
  <c r="D37" i="11" s="1"/>
  <c r="B38" i="11"/>
  <c r="C38" i="11" s="1"/>
  <c r="B39" i="11"/>
  <c r="C39" i="11" s="1"/>
  <c r="B40" i="11"/>
  <c r="C40" i="11" s="1"/>
  <c r="B41" i="11"/>
  <c r="D41" i="11" s="1"/>
  <c r="B42" i="11"/>
  <c r="D42" i="11" s="1"/>
  <c r="B43" i="11"/>
  <c r="C43" i="11" s="1"/>
  <c r="B44" i="11"/>
  <c r="C44" i="11" s="1"/>
  <c r="B45" i="11"/>
  <c r="D45" i="11" s="1"/>
  <c r="B46" i="11"/>
  <c r="C46" i="11" s="1"/>
  <c r="B47" i="11"/>
  <c r="C47" i="11" s="1"/>
  <c r="B48" i="11"/>
  <c r="C48" i="11" s="1"/>
  <c r="B49" i="11"/>
  <c r="D49" i="11" s="1"/>
  <c r="B50" i="11"/>
  <c r="C50" i="11" s="1"/>
  <c r="B51" i="11"/>
  <c r="C51" i="11" s="1"/>
  <c r="B52" i="11"/>
  <c r="C52" i="11" s="1"/>
  <c r="C49" i="11" l="1"/>
  <c r="D46" i="11"/>
  <c r="C42" i="11"/>
  <c r="C37" i="11"/>
  <c r="C33" i="11"/>
  <c r="D30" i="11"/>
  <c r="C17" i="11"/>
  <c r="D14" i="11"/>
  <c r="C9" i="11"/>
  <c r="D26" i="11"/>
  <c r="D10" i="11"/>
  <c r="D34" i="11"/>
  <c r="C21" i="11"/>
  <c r="D18" i="11"/>
  <c r="C5" i="11"/>
  <c r="D50" i="11"/>
  <c r="C41" i="11"/>
  <c r="D38" i="11"/>
  <c r="C25" i="11"/>
  <c r="D22" i="11"/>
  <c r="D6" i="11"/>
  <c r="C45" i="11"/>
  <c r="C29" i="11"/>
  <c r="C13" i="11"/>
  <c r="D51" i="11"/>
  <c r="D47" i="11"/>
  <c r="D43" i="11"/>
  <c r="D39" i="11"/>
  <c r="D35" i="11"/>
  <c r="D31" i="11"/>
  <c r="D27" i="11"/>
  <c r="D23" i="11"/>
  <c r="D19" i="11"/>
  <c r="D15" i="11"/>
  <c r="D11" i="11"/>
  <c r="D7" i="11"/>
  <c r="D52" i="11"/>
  <c r="D48" i="11"/>
  <c r="D44" i="11"/>
  <c r="D40" i="11"/>
  <c r="D36" i="11"/>
  <c r="D32" i="11"/>
  <c r="D28" i="11"/>
  <c r="D24" i="11"/>
  <c r="D20" i="11"/>
  <c r="D16" i="11"/>
  <c r="D12" i="11"/>
  <c r="D8" i="11"/>
  <c r="D4" i="11"/>
  <c r="B3" i="14" l="1"/>
  <c r="C3" i="14" s="1"/>
  <c r="F3" i="14" s="1"/>
  <c r="B4" i="14"/>
  <c r="C4" i="14" s="1"/>
  <c r="B5" i="14"/>
  <c r="C5" i="14" s="1"/>
  <c r="B6" i="14"/>
  <c r="C6" i="14" s="1"/>
  <c r="B7" i="14"/>
  <c r="C7" i="14" s="1"/>
  <c r="B8" i="14"/>
  <c r="C8" i="14" s="1"/>
  <c r="B9" i="14"/>
  <c r="C9" i="14" s="1"/>
  <c r="B10" i="14"/>
  <c r="C10" i="14" s="1"/>
  <c r="B11" i="14"/>
  <c r="C11" i="14" s="1"/>
  <c r="B12" i="14"/>
  <c r="C12" i="14" s="1"/>
  <c r="B13" i="14"/>
  <c r="C13" i="14" s="1"/>
  <c r="B14" i="14"/>
  <c r="C14" i="14" s="1"/>
  <c r="B15" i="14"/>
  <c r="C15" i="14" s="1"/>
  <c r="B16" i="14"/>
  <c r="C16" i="14" s="1"/>
  <c r="B17" i="14"/>
  <c r="C17" i="14" s="1"/>
  <c r="B18" i="14"/>
  <c r="C18" i="14" s="1"/>
  <c r="B19" i="14"/>
  <c r="C19" i="14" s="1"/>
  <c r="B20" i="14"/>
  <c r="C20" i="14" s="1"/>
  <c r="B21" i="14"/>
  <c r="C21" i="14" s="1"/>
  <c r="B22" i="14"/>
  <c r="C22" i="14" s="1"/>
  <c r="B23" i="14"/>
  <c r="C23" i="14" s="1"/>
  <c r="B24" i="14"/>
  <c r="C24" i="14" s="1"/>
  <c r="B25" i="14"/>
  <c r="C25" i="14" s="1"/>
  <c r="B26" i="14"/>
  <c r="C26" i="14" s="1"/>
  <c r="B27" i="14"/>
  <c r="C27" i="14" s="1"/>
  <c r="B28" i="14"/>
  <c r="C28" i="14" s="1"/>
  <c r="B29" i="14"/>
  <c r="C29" i="14" s="1"/>
  <c r="B30" i="14"/>
  <c r="C30" i="14" s="1"/>
  <c r="B31" i="14"/>
  <c r="C31" i="14" s="1"/>
  <c r="B32" i="14"/>
  <c r="C32" i="14" s="1"/>
  <c r="B33" i="14"/>
  <c r="C33" i="14" s="1"/>
  <c r="B34" i="14"/>
  <c r="C34" i="14" s="1"/>
  <c r="B35" i="14"/>
  <c r="C35" i="14" s="1"/>
  <c r="B36" i="14"/>
  <c r="C36" i="14" s="1"/>
  <c r="B37" i="14"/>
  <c r="C37" i="14" s="1"/>
  <c r="B38" i="14"/>
  <c r="C38" i="14" s="1"/>
  <c r="B39" i="14"/>
  <c r="C39" i="14" s="1"/>
  <c r="B40" i="14"/>
  <c r="C40" i="14" s="1"/>
  <c r="B41" i="14"/>
  <c r="C41" i="14" s="1"/>
  <c r="B42" i="14"/>
  <c r="C42" i="14" s="1"/>
  <c r="B43" i="14"/>
  <c r="C43" i="14" s="1"/>
  <c r="B44" i="14"/>
  <c r="C44" i="14" s="1"/>
  <c r="B45" i="14"/>
  <c r="C45" i="14" s="1"/>
  <c r="B46" i="14"/>
  <c r="C46" i="14" s="1"/>
  <c r="B47" i="14"/>
  <c r="C47" i="14" s="1"/>
  <c r="B48" i="14"/>
  <c r="C48" i="14" s="1"/>
  <c r="B49" i="14"/>
  <c r="C49" i="14" s="1"/>
  <c r="B50" i="14"/>
  <c r="C50" i="14" s="1"/>
  <c r="B51" i="14"/>
  <c r="C51" i="14" s="1"/>
  <c r="B52" i="14"/>
  <c r="C52" i="14" s="1"/>
  <c r="B53" i="14"/>
  <c r="C53" i="14" s="1"/>
  <c r="B54" i="14"/>
  <c r="C54" i="14" s="1"/>
  <c r="B55" i="14"/>
  <c r="C55" i="14" s="1"/>
  <c r="B56" i="14"/>
  <c r="C56" i="14" s="1"/>
  <c r="B57" i="14"/>
  <c r="C57" i="14" s="1"/>
  <c r="B58" i="14"/>
  <c r="C58" i="14" s="1"/>
  <c r="B59" i="14"/>
  <c r="C59" i="14" s="1"/>
  <c r="B60" i="14"/>
  <c r="C60" i="14" s="1"/>
  <c r="B61" i="14"/>
  <c r="C61" i="14" s="1"/>
  <c r="B62" i="14"/>
  <c r="C62" i="14" s="1"/>
  <c r="B63" i="14"/>
  <c r="C63" i="14" s="1"/>
  <c r="B64" i="14"/>
  <c r="C64" i="14" s="1"/>
  <c r="B65" i="14"/>
  <c r="C65" i="14" s="1"/>
  <c r="B66" i="14"/>
  <c r="C66" i="14" s="1"/>
  <c r="B67" i="14"/>
  <c r="C67" i="14" s="1"/>
  <c r="B68" i="14"/>
  <c r="C68" i="14" s="1"/>
  <c r="B69" i="14"/>
  <c r="C69" i="14" s="1"/>
  <c r="B70" i="14"/>
  <c r="C70" i="14" s="1"/>
  <c r="B71" i="14"/>
  <c r="C71" i="14" s="1"/>
  <c r="B72" i="14"/>
  <c r="C72" i="14" s="1"/>
  <c r="B73" i="14"/>
  <c r="C73" i="14" s="1"/>
  <c r="B74" i="14"/>
  <c r="C74" i="14" s="1"/>
  <c r="B75" i="14"/>
  <c r="C75" i="14" s="1"/>
  <c r="B76" i="14"/>
  <c r="C76" i="14" s="1"/>
  <c r="B77" i="14"/>
  <c r="C77" i="14" s="1"/>
  <c r="B78" i="14"/>
  <c r="C78" i="14" s="1"/>
  <c r="B79" i="14"/>
  <c r="C79" i="14" s="1"/>
  <c r="B80" i="14"/>
  <c r="C80" i="14" s="1"/>
  <c r="B81" i="14"/>
  <c r="C81" i="14" s="1"/>
  <c r="B82" i="14"/>
  <c r="C82" i="14" s="1"/>
  <c r="B83" i="14"/>
  <c r="C83" i="14" s="1"/>
  <c r="B84" i="14"/>
  <c r="C84" i="14" s="1"/>
  <c r="B85" i="14"/>
  <c r="C85" i="14" s="1"/>
  <c r="B86" i="14"/>
  <c r="C86" i="14" s="1"/>
  <c r="B87" i="14"/>
  <c r="C87" i="14" s="1"/>
  <c r="B88" i="14"/>
  <c r="C88" i="14" s="1"/>
  <c r="B89" i="14"/>
  <c r="C89" i="14" s="1"/>
  <c r="B90" i="14"/>
  <c r="C90" i="14" s="1"/>
  <c r="B91" i="14"/>
  <c r="C91" i="14" s="1"/>
  <c r="B92" i="14"/>
  <c r="C92" i="14" s="1"/>
  <c r="B93" i="14"/>
  <c r="C93" i="14" s="1"/>
  <c r="B94" i="14"/>
  <c r="C94" i="14" s="1"/>
  <c r="B95" i="14"/>
  <c r="C95" i="14" s="1"/>
  <c r="B96" i="14"/>
  <c r="C96" i="14" s="1"/>
  <c r="B97" i="14"/>
  <c r="C97" i="14" s="1"/>
  <c r="B98" i="14"/>
  <c r="C98" i="14" s="1"/>
  <c r="B99" i="14"/>
  <c r="C99" i="14" s="1"/>
  <c r="B100" i="14"/>
  <c r="C100" i="14" s="1"/>
  <c r="B101" i="14"/>
  <c r="C101" i="14" s="1"/>
  <c r="B102" i="14"/>
  <c r="C102" i="14" s="1"/>
  <c r="B36" i="10"/>
  <c r="C36" i="10" s="1"/>
  <c r="B37" i="10"/>
  <c r="C37" i="10" s="1"/>
  <c r="E37" i="10" s="1"/>
  <c r="B38" i="10"/>
  <c r="C38" i="10" s="1"/>
  <c r="E38" i="10" s="1"/>
  <c r="B39" i="10"/>
  <c r="C39" i="10" s="1"/>
  <c r="B40" i="10"/>
  <c r="C40" i="10" s="1"/>
  <c r="B41" i="10"/>
  <c r="C41" i="10" s="1"/>
  <c r="B42" i="10"/>
  <c r="C42" i="10" s="1"/>
  <c r="B43" i="10"/>
  <c r="C43" i="10" s="1"/>
  <c r="F43" i="10" s="1"/>
  <c r="B44" i="10"/>
  <c r="C44" i="10" s="1"/>
  <c r="B45" i="10"/>
  <c r="C45" i="10" s="1"/>
  <c r="B46" i="10"/>
  <c r="C46" i="10" s="1"/>
  <c r="B47" i="10"/>
  <c r="C47" i="10" s="1"/>
  <c r="B48" i="10"/>
  <c r="C48" i="10" s="1"/>
  <c r="B49" i="10"/>
  <c r="C49" i="10" s="1"/>
  <c r="E49" i="10" s="1"/>
  <c r="B50" i="10"/>
  <c r="C50" i="10" s="1"/>
  <c r="B51" i="10"/>
  <c r="C51" i="10" s="1"/>
  <c r="B52" i="10"/>
  <c r="C52" i="10" s="1"/>
  <c r="B53" i="10"/>
  <c r="C53" i="10" s="1"/>
  <c r="F53" i="10" s="1"/>
  <c r="B54" i="10"/>
  <c r="C54" i="10" s="1"/>
  <c r="E54" i="10" s="1"/>
  <c r="B55" i="10"/>
  <c r="C55" i="10" s="1"/>
  <c r="B56" i="10"/>
  <c r="C56" i="10" s="1"/>
  <c r="B57" i="10"/>
  <c r="C57" i="10" s="1"/>
  <c r="F57" i="10" s="1"/>
  <c r="B58" i="10"/>
  <c r="C58" i="10" s="1"/>
  <c r="F58" i="10" s="1"/>
  <c r="B59" i="10"/>
  <c r="C59" i="10" s="1"/>
  <c r="B60" i="10"/>
  <c r="C60" i="10" s="1"/>
  <c r="B61" i="10"/>
  <c r="C61" i="10" s="1"/>
  <c r="B62" i="10"/>
  <c r="C62" i="10" s="1"/>
  <c r="B63" i="10"/>
  <c r="C63" i="10" s="1"/>
  <c r="B64" i="10"/>
  <c r="C64" i="10" s="1"/>
  <c r="B65" i="10"/>
  <c r="C65" i="10" s="1"/>
  <c r="B66" i="10"/>
  <c r="C66" i="10" s="1"/>
  <c r="E66" i="10" s="1"/>
  <c r="B67" i="10"/>
  <c r="C67" i="10" s="1"/>
  <c r="B68" i="10"/>
  <c r="C68" i="10" s="1"/>
  <c r="B69" i="10"/>
  <c r="C69" i="10" s="1"/>
  <c r="F69" i="10" s="1"/>
  <c r="B70" i="10"/>
  <c r="C70" i="10" s="1"/>
  <c r="E70" i="10" s="1"/>
  <c r="B71" i="10"/>
  <c r="C71" i="10" s="1"/>
  <c r="B72" i="10"/>
  <c r="C72" i="10" s="1"/>
  <c r="B73" i="10"/>
  <c r="C73" i="10" s="1"/>
  <c r="B74" i="10"/>
  <c r="C74" i="10" s="1"/>
  <c r="E74" i="10" s="1"/>
  <c r="B75" i="10"/>
  <c r="C75" i="10" s="1"/>
  <c r="B76" i="10"/>
  <c r="C76" i="10" s="1"/>
  <c r="B77" i="10"/>
  <c r="C77" i="10" s="1"/>
  <c r="B78" i="10"/>
  <c r="C78" i="10" s="1"/>
  <c r="E78" i="10" s="1"/>
  <c r="B79" i="10"/>
  <c r="C79" i="10" s="1"/>
  <c r="B80" i="10"/>
  <c r="C80" i="10" s="1"/>
  <c r="B81" i="10"/>
  <c r="C81" i="10" s="1"/>
  <c r="F81" i="10" s="1"/>
  <c r="B82" i="10"/>
  <c r="C82" i="10" s="1"/>
  <c r="E82" i="10" s="1"/>
  <c r="B83" i="10"/>
  <c r="C83" i="10" s="1"/>
  <c r="B84" i="10"/>
  <c r="C84" i="10" s="1"/>
  <c r="B85" i="10"/>
  <c r="C85" i="10" s="1"/>
  <c r="E85" i="10" s="1"/>
  <c r="B86" i="10"/>
  <c r="C86" i="10" s="1"/>
  <c r="B87" i="10"/>
  <c r="C87" i="10" s="1"/>
  <c r="B88" i="10"/>
  <c r="C88" i="10" s="1"/>
  <c r="B89" i="10"/>
  <c r="C89" i="10" s="1"/>
  <c r="B90" i="10"/>
  <c r="C90" i="10" s="1"/>
  <c r="B91" i="10"/>
  <c r="C91" i="10" s="1"/>
  <c r="E91" i="10" s="1"/>
  <c r="B92" i="10"/>
  <c r="C92" i="10" s="1"/>
  <c r="B93" i="10"/>
  <c r="C93" i="10" s="1"/>
  <c r="B94" i="10"/>
  <c r="C94" i="10" s="1"/>
  <c r="B95" i="10"/>
  <c r="C95" i="10" s="1"/>
  <c r="B96" i="10"/>
  <c r="C96" i="10" s="1"/>
  <c r="B97" i="10"/>
  <c r="C97" i="10" s="1"/>
  <c r="F97" i="10" s="1"/>
  <c r="B98" i="10"/>
  <c r="C98" i="10" s="1"/>
  <c r="B99" i="10"/>
  <c r="C99" i="10" s="1"/>
  <c r="B100" i="10"/>
  <c r="C100" i="10" s="1"/>
  <c r="B101" i="10"/>
  <c r="C101" i="10" s="1"/>
  <c r="B102" i="10"/>
  <c r="C102" i="10" s="1"/>
  <c r="B103" i="10"/>
  <c r="C103" i="10" s="1"/>
  <c r="B104" i="10"/>
  <c r="C104" i="10" s="1"/>
  <c r="B105" i="10"/>
  <c r="C105" i="10" s="1"/>
  <c r="E105" i="10" s="1"/>
  <c r="B106" i="10"/>
  <c r="C106" i="10" s="1"/>
  <c r="E106" i="10" s="1"/>
  <c r="B107" i="10"/>
  <c r="C107" i="10" s="1"/>
  <c r="B108" i="10"/>
  <c r="C108" i="10" s="1"/>
  <c r="E108" i="10" s="1"/>
  <c r="B109" i="10"/>
  <c r="C109" i="10" s="1"/>
  <c r="B110" i="10"/>
  <c r="C110" i="10" s="1"/>
  <c r="B111" i="10"/>
  <c r="C111" i="10" s="1"/>
  <c r="F111" i="10" s="1"/>
  <c r="B112" i="10"/>
  <c r="C112" i="10" s="1"/>
  <c r="B113" i="10"/>
  <c r="C113" i="10" s="1"/>
  <c r="E113" i="10" s="1"/>
  <c r="B114" i="10"/>
  <c r="C114" i="10" s="1"/>
  <c r="B115" i="10"/>
  <c r="C115" i="10" s="1"/>
  <c r="E115" i="10" s="1"/>
  <c r="B116" i="10"/>
  <c r="C116" i="10" s="1"/>
  <c r="E116" i="10" s="1"/>
  <c r="B117" i="10"/>
  <c r="C117" i="10" s="1"/>
  <c r="B118" i="10"/>
  <c r="C118" i="10" s="1"/>
  <c r="B119" i="10"/>
  <c r="C119" i="10" s="1"/>
  <c r="F119" i="10" s="1"/>
  <c r="B120" i="10"/>
  <c r="C120" i="10" s="1"/>
  <c r="B121" i="10"/>
  <c r="C121" i="10" s="1"/>
  <c r="B122" i="10"/>
  <c r="C122" i="10" s="1"/>
  <c r="B123" i="10"/>
  <c r="C123" i="10" s="1"/>
  <c r="F123" i="10" s="1"/>
  <c r="B124" i="10"/>
  <c r="C124" i="10" s="1"/>
  <c r="E124" i="10" s="1"/>
  <c r="B125" i="10"/>
  <c r="C125" i="10" s="1"/>
  <c r="B126" i="10"/>
  <c r="C126" i="10" s="1"/>
  <c r="F126" i="10" s="1"/>
  <c r="B127" i="10"/>
  <c r="C127" i="10" s="1"/>
  <c r="F127" i="10" s="1"/>
  <c r="B128" i="10"/>
  <c r="C128" i="10" s="1"/>
  <c r="F128" i="10" s="1"/>
  <c r="B129" i="10"/>
  <c r="C129" i="10" s="1"/>
  <c r="B130" i="10"/>
  <c r="C130" i="10" s="1"/>
  <c r="E130" i="10" s="1"/>
  <c r="B131" i="10"/>
  <c r="C131" i="10" s="1"/>
  <c r="E131" i="10" s="1"/>
  <c r="B132" i="10"/>
  <c r="C132" i="10" s="1"/>
  <c r="E132" i="10" s="1"/>
  <c r="B133" i="10"/>
  <c r="C133" i="10" s="1"/>
  <c r="B134" i="10"/>
  <c r="C134" i="10" s="1"/>
  <c r="B135" i="10"/>
  <c r="C135" i="10" s="1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B3" i="12"/>
  <c r="C3" i="12" s="1"/>
  <c r="B4" i="12"/>
  <c r="C4" i="12" s="1"/>
  <c r="B5" i="12"/>
  <c r="C5" i="12" s="1"/>
  <c r="B6" i="12"/>
  <c r="C6" i="12" s="1"/>
  <c r="B7" i="12"/>
  <c r="C7" i="12" s="1"/>
  <c r="B8" i="12"/>
  <c r="C8" i="12" s="1"/>
  <c r="B9" i="12"/>
  <c r="C9" i="12" s="1"/>
  <c r="B10" i="12"/>
  <c r="C10" i="12" s="1"/>
  <c r="B11" i="12"/>
  <c r="C11" i="12" s="1"/>
  <c r="B12" i="12"/>
  <c r="C12" i="12" s="1"/>
  <c r="B13" i="12"/>
  <c r="C13" i="12" s="1"/>
  <c r="B14" i="12"/>
  <c r="C14" i="12" s="1"/>
  <c r="B15" i="12"/>
  <c r="C15" i="12" s="1"/>
  <c r="B16" i="12"/>
  <c r="C16" i="12" s="1"/>
  <c r="B17" i="12"/>
  <c r="C17" i="12" s="1"/>
  <c r="B18" i="12"/>
  <c r="C18" i="12" s="1"/>
  <c r="B19" i="12"/>
  <c r="C19" i="12" s="1"/>
  <c r="B20" i="12"/>
  <c r="C20" i="12" s="1"/>
  <c r="B21" i="12"/>
  <c r="C21" i="12" s="1"/>
  <c r="B22" i="12"/>
  <c r="C22" i="12" s="1"/>
  <c r="B23" i="12"/>
  <c r="C23" i="12" s="1"/>
  <c r="B24" i="12"/>
  <c r="C24" i="12" s="1"/>
  <c r="B25" i="12"/>
  <c r="C25" i="12" s="1"/>
  <c r="B26" i="12"/>
  <c r="C26" i="12" s="1"/>
  <c r="B27" i="12"/>
  <c r="C27" i="12" s="1"/>
  <c r="B28" i="12"/>
  <c r="C28" i="12" s="1"/>
  <c r="B29" i="12"/>
  <c r="C29" i="12" s="1"/>
  <c r="B30" i="12"/>
  <c r="C30" i="12" s="1"/>
  <c r="B31" i="12"/>
  <c r="C31" i="12" s="1"/>
  <c r="B32" i="12"/>
  <c r="C32" i="12" s="1"/>
  <c r="B33" i="12"/>
  <c r="C33" i="12" s="1"/>
  <c r="B34" i="12"/>
  <c r="C34" i="12" s="1"/>
  <c r="B35" i="12"/>
  <c r="C35" i="12" s="1"/>
  <c r="B36" i="12"/>
  <c r="C36" i="12" s="1"/>
  <c r="B37" i="12"/>
  <c r="C37" i="12" s="1"/>
  <c r="B38" i="12"/>
  <c r="C38" i="12" s="1"/>
  <c r="B39" i="12"/>
  <c r="C39" i="12" s="1"/>
  <c r="B40" i="12"/>
  <c r="C40" i="12" s="1"/>
  <c r="B41" i="12"/>
  <c r="C41" i="12" s="1"/>
  <c r="B42" i="12"/>
  <c r="C42" i="12" s="1"/>
  <c r="B43" i="12"/>
  <c r="C43" i="12" s="1"/>
  <c r="B44" i="12"/>
  <c r="C44" i="12" s="1"/>
  <c r="B45" i="12"/>
  <c r="C45" i="12" s="1"/>
  <c r="B46" i="12"/>
  <c r="C46" i="12" s="1"/>
  <c r="B47" i="12"/>
  <c r="C47" i="12" s="1"/>
  <c r="B48" i="12"/>
  <c r="C48" i="12" s="1"/>
  <c r="B49" i="12"/>
  <c r="C49" i="12" s="1"/>
  <c r="B50" i="12"/>
  <c r="C50" i="12" s="1"/>
  <c r="B51" i="12"/>
  <c r="C51" i="12" s="1"/>
  <c r="B52" i="12"/>
  <c r="C52" i="12" s="1"/>
  <c r="B53" i="12"/>
  <c r="C53" i="12" s="1"/>
  <c r="B54" i="12"/>
  <c r="C54" i="12" s="1"/>
  <c r="B55" i="12"/>
  <c r="C55" i="12" s="1"/>
  <c r="B56" i="12"/>
  <c r="C56" i="12" s="1"/>
  <c r="B57" i="12"/>
  <c r="C57" i="12" s="1"/>
  <c r="B58" i="12"/>
  <c r="C58" i="12" s="1"/>
  <c r="B59" i="12"/>
  <c r="C59" i="12" s="1"/>
  <c r="B60" i="12"/>
  <c r="C60" i="12" s="1"/>
  <c r="B61" i="12"/>
  <c r="C61" i="12" s="1"/>
  <c r="B62" i="12"/>
  <c r="C62" i="12" s="1"/>
  <c r="B63" i="12"/>
  <c r="C63" i="12" s="1"/>
  <c r="B64" i="12"/>
  <c r="C64" i="12" s="1"/>
  <c r="B65" i="12"/>
  <c r="C65" i="12" s="1"/>
  <c r="B66" i="12"/>
  <c r="C66" i="12" s="1"/>
  <c r="B67" i="12"/>
  <c r="C67" i="12" s="1"/>
  <c r="B68" i="12"/>
  <c r="C68" i="12" s="1"/>
  <c r="B69" i="12"/>
  <c r="C69" i="12" s="1"/>
  <c r="B70" i="12"/>
  <c r="C70" i="12" s="1"/>
  <c r="B71" i="12"/>
  <c r="C71" i="12" s="1"/>
  <c r="B72" i="12"/>
  <c r="C72" i="12" s="1"/>
  <c r="B73" i="12"/>
  <c r="C73" i="12" s="1"/>
  <c r="B74" i="12"/>
  <c r="C74" i="12" s="1"/>
  <c r="B75" i="12"/>
  <c r="C75" i="12" s="1"/>
  <c r="B76" i="12"/>
  <c r="C76" i="12" s="1"/>
  <c r="B77" i="12"/>
  <c r="C77" i="12" s="1"/>
  <c r="B78" i="12"/>
  <c r="C78" i="12" s="1"/>
  <c r="B79" i="12"/>
  <c r="C79" i="12" s="1"/>
  <c r="B80" i="12"/>
  <c r="C80" i="12" s="1"/>
  <c r="B81" i="12"/>
  <c r="C81" i="12" s="1"/>
  <c r="B82" i="12"/>
  <c r="C82" i="12" s="1"/>
  <c r="B83" i="12"/>
  <c r="C83" i="12" s="1"/>
  <c r="B84" i="12"/>
  <c r="C84" i="12" s="1"/>
  <c r="B85" i="12"/>
  <c r="C85" i="12" s="1"/>
  <c r="B86" i="12"/>
  <c r="C86" i="12" s="1"/>
  <c r="B87" i="12"/>
  <c r="C87" i="12" s="1"/>
  <c r="B88" i="12"/>
  <c r="C88" i="12" s="1"/>
  <c r="B89" i="12"/>
  <c r="C89" i="12" s="1"/>
  <c r="B90" i="12"/>
  <c r="C90" i="12" s="1"/>
  <c r="B91" i="12"/>
  <c r="C91" i="12" s="1"/>
  <c r="B92" i="12"/>
  <c r="C92" i="12" s="1"/>
  <c r="B93" i="12"/>
  <c r="C93" i="12" s="1"/>
  <c r="B94" i="12"/>
  <c r="C94" i="12" s="1"/>
  <c r="B95" i="12"/>
  <c r="C95" i="12" s="1"/>
  <c r="B96" i="12"/>
  <c r="C96" i="12" s="1"/>
  <c r="B97" i="12"/>
  <c r="C97" i="12" s="1"/>
  <c r="B98" i="12"/>
  <c r="C98" i="12" s="1"/>
  <c r="B99" i="12"/>
  <c r="C99" i="12" s="1"/>
  <c r="B100" i="12"/>
  <c r="C100" i="12" s="1"/>
  <c r="B101" i="12"/>
  <c r="C101" i="12" s="1"/>
  <c r="B102" i="12"/>
  <c r="C102" i="12" s="1"/>
  <c r="B103" i="12"/>
  <c r="C103" i="12" s="1"/>
  <c r="B104" i="12"/>
  <c r="C104" i="12" s="1"/>
  <c r="B105" i="12"/>
  <c r="C105" i="12" s="1"/>
  <c r="B106" i="12"/>
  <c r="C106" i="12" s="1"/>
  <c r="B107" i="12"/>
  <c r="C107" i="12" s="1"/>
  <c r="B108" i="12"/>
  <c r="C108" i="12" s="1"/>
  <c r="B109" i="12"/>
  <c r="C109" i="12" s="1"/>
  <c r="B110" i="12"/>
  <c r="C110" i="12" s="1"/>
  <c r="B111" i="12"/>
  <c r="C111" i="12" s="1"/>
  <c r="B112" i="12"/>
  <c r="C112" i="12" s="1"/>
  <c r="B113" i="12"/>
  <c r="C113" i="12" s="1"/>
  <c r="B114" i="12"/>
  <c r="C114" i="12" s="1"/>
  <c r="B115" i="12"/>
  <c r="C115" i="12" s="1"/>
  <c r="B116" i="12"/>
  <c r="C116" i="12" s="1"/>
  <c r="B117" i="12"/>
  <c r="C117" i="12" s="1"/>
  <c r="B118" i="12"/>
  <c r="C118" i="12" s="1"/>
  <c r="B119" i="12"/>
  <c r="C119" i="12" s="1"/>
  <c r="B120" i="12"/>
  <c r="C120" i="12" s="1"/>
  <c r="B121" i="12"/>
  <c r="C121" i="12" s="1"/>
  <c r="B122" i="12"/>
  <c r="C122" i="12" s="1"/>
  <c r="B123" i="12"/>
  <c r="C123" i="12" s="1"/>
  <c r="B124" i="12"/>
  <c r="C124" i="12" s="1"/>
  <c r="B125" i="12"/>
  <c r="C125" i="12" s="1"/>
  <c r="B126" i="12"/>
  <c r="C126" i="12" s="1"/>
  <c r="B127" i="12"/>
  <c r="C127" i="12" s="1"/>
  <c r="B128" i="12"/>
  <c r="C128" i="12" s="1"/>
  <c r="B129" i="12"/>
  <c r="C129" i="12" s="1"/>
  <c r="B130" i="12"/>
  <c r="C130" i="12" s="1"/>
  <c r="B131" i="12"/>
  <c r="C131" i="12" s="1"/>
  <c r="B132" i="12"/>
  <c r="C132" i="12" s="1"/>
  <c r="B133" i="12"/>
  <c r="C133" i="12" s="1"/>
  <c r="B134" i="12"/>
  <c r="C134" i="12" s="1"/>
  <c r="B135" i="12"/>
  <c r="C135" i="12" s="1"/>
  <c r="B136" i="12"/>
  <c r="C136" i="12" s="1"/>
  <c r="B137" i="12"/>
  <c r="C137" i="12" s="1"/>
  <c r="B138" i="12"/>
  <c r="C138" i="12" s="1"/>
  <c r="B139" i="12"/>
  <c r="C139" i="12" s="1"/>
  <c r="B140" i="12"/>
  <c r="C140" i="12" s="1"/>
  <c r="B141" i="12"/>
  <c r="C141" i="12" s="1"/>
  <c r="B142" i="12"/>
  <c r="C142" i="12" s="1"/>
  <c r="B143" i="12"/>
  <c r="C143" i="12" s="1"/>
  <c r="B144" i="12"/>
  <c r="C144" i="12" s="1"/>
  <c r="B145" i="12"/>
  <c r="C145" i="12" s="1"/>
  <c r="B146" i="12"/>
  <c r="C146" i="12" s="1"/>
  <c r="B147" i="12"/>
  <c r="C147" i="12" s="1"/>
  <c r="B148" i="12"/>
  <c r="C148" i="12" s="1"/>
  <c r="B149" i="12"/>
  <c r="C149" i="12" s="1"/>
  <c r="B150" i="12"/>
  <c r="C150" i="12" s="1"/>
  <c r="B151" i="12"/>
  <c r="C151" i="12" s="1"/>
  <c r="B152" i="12"/>
  <c r="C152" i="12" s="1"/>
  <c r="B153" i="12"/>
  <c r="C153" i="12" s="1"/>
  <c r="B154" i="12"/>
  <c r="C154" i="12" s="1"/>
  <c r="B155" i="12"/>
  <c r="C155" i="12" s="1"/>
  <c r="B156" i="12"/>
  <c r="C156" i="12" s="1"/>
  <c r="B157" i="12"/>
  <c r="C157" i="12" s="1"/>
  <c r="B158" i="12"/>
  <c r="C158" i="12" s="1"/>
  <c r="B159" i="12"/>
  <c r="C159" i="12" s="1"/>
  <c r="B160" i="12"/>
  <c r="C160" i="12" s="1"/>
  <c r="B161" i="12"/>
  <c r="C161" i="12" s="1"/>
  <c r="B162" i="12"/>
  <c r="C162" i="12" s="1"/>
  <c r="B163" i="12"/>
  <c r="C163" i="12" s="1"/>
  <c r="B164" i="12"/>
  <c r="C164" i="12" s="1"/>
  <c r="B165" i="12"/>
  <c r="C165" i="12" s="1"/>
  <c r="B166" i="12"/>
  <c r="C166" i="12" s="1"/>
  <c r="B167" i="12"/>
  <c r="C167" i="12" s="1"/>
  <c r="B168" i="12"/>
  <c r="C168" i="12" s="1"/>
  <c r="B169" i="12"/>
  <c r="C169" i="12" s="1"/>
  <c r="B170" i="12"/>
  <c r="C170" i="12" s="1"/>
  <c r="B171" i="12"/>
  <c r="C171" i="12" s="1"/>
  <c r="B172" i="12"/>
  <c r="C172" i="12" s="1"/>
  <c r="B173" i="12"/>
  <c r="C173" i="12" s="1"/>
  <c r="B174" i="12"/>
  <c r="C174" i="12" s="1"/>
  <c r="B175" i="12"/>
  <c r="C175" i="12" s="1"/>
  <c r="B176" i="12"/>
  <c r="C176" i="12" s="1"/>
  <c r="B177" i="12"/>
  <c r="C177" i="12" s="1"/>
  <c r="B178" i="12"/>
  <c r="C178" i="12" s="1"/>
  <c r="B179" i="12"/>
  <c r="C179" i="12" s="1"/>
  <c r="B180" i="12"/>
  <c r="C180" i="12" s="1"/>
  <c r="B181" i="12"/>
  <c r="C181" i="12" s="1"/>
  <c r="B182" i="12"/>
  <c r="C182" i="12" s="1"/>
  <c r="B183" i="12"/>
  <c r="C183" i="12" s="1"/>
  <c r="B184" i="12"/>
  <c r="C184" i="12" s="1"/>
  <c r="B185" i="12"/>
  <c r="C185" i="12" s="1"/>
  <c r="B186" i="12"/>
  <c r="C186" i="12" s="1"/>
  <c r="B187" i="12"/>
  <c r="C187" i="12" s="1"/>
  <c r="B188" i="12"/>
  <c r="C188" i="12" s="1"/>
  <c r="B189" i="12"/>
  <c r="C189" i="12" s="1"/>
  <c r="B190" i="12"/>
  <c r="C190" i="12" s="1"/>
  <c r="B191" i="12"/>
  <c r="C191" i="12" s="1"/>
  <c r="B192" i="12"/>
  <c r="C192" i="12" s="1"/>
  <c r="B193" i="12"/>
  <c r="C193" i="12" s="1"/>
  <c r="B194" i="12"/>
  <c r="C194" i="12" s="1"/>
  <c r="B195" i="12"/>
  <c r="C195" i="12" s="1"/>
  <c r="B196" i="12"/>
  <c r="C196" i="12" s="1"/>
  <c r="B197" i="12"/>
  <c r="C197" i="12" s="1"/>
  <c r="B198" i="12"/>
  <c r="C198" i="12" s="1"/>
  <c r="B199" i="12"/>
  <c r="C199" i="12" s="1"/>
  <c r="B200" i="12"/>
  <c r="C200" i="12" s="1"/>
  <c r="B201" i="12"/>
  <c r="C201" i="12" s="1"/>
  <c r="B202" i="12"/>
  <c r="C202" i="12" s="1"/>
  <c r="B203" i="12"/>
  <c r="C203" i="12" s="1"/>
  <c r="B204" i="12"/>
  <c r="C204" i="12" s="1"/>
  <c r="B205" i="12"/>
  <c r="C205" i="12" s="1"/>
  <c r="B206" i="12"/>
  <c r="C206" i="12" s="1"/>
  <c r="B207" i="12"/>
  <c r="C207" i="12" s="1"/>
  <c r="B208" i="12"/>
  <c r="C208" i="12" s="1"/>
  <c r="B209" i="12"/>
  <c r="C209" i="12" s="1"/>
  <c r="B210" i="12"/>
  <c r="C210" i="12" s="1"/>
  <c r="B211" i="12"/>
  <c r="C211" i="12" s="1"/>
  <c r="B212" i="12"/>
  <c r="C212" i="12" s="1"/>
  <c r="B213" i="12"/>
  <c r="C213" i="12" s="1"/>
  <c r="B214" i="12"/>
  <c r="C214" i="12" s="1"/>
  <c r="B215" i="12"/>
  <c r="C215" i="12" s="1"/>
  <c r="B216" i="12"/>
  <c r="C216" i="12" s="1"/>
  <c r="B217" i="12"/>
  <c r="C217" i="12" s="1"/>
  <c r="B218" i="12"/>
  <c r="C218" i="12" s="1"/>
  <c r="B219" i="12"/>
  <c r="C219" i="12" s="1"/>
  <c r="B220" i="12"/>
  <c r="C220" i="12" s="1"/>
  <c r="B221" i="12"/>
  <c r="C221" i="12" s="1"/>
  <c r="B222" i="12"/>
  <c r="C222" i="12" s="1"/>
  <c r="B223" i="12"/>
  <c r="C223" i="12" s="1"/>
  <c r="B224" i="12"/>
  <c r="C224" i="12" s="1"/>
  <c r="B225" i="12"/>
  <c r="C225" i="12" s="1"/>
  <c r="B226" i="12"/>
  <c r="C226" i="12" s="1"/>
  <c r="B227" i="12"/>
  <c r="C227" i="12" s="1"/>
  <c r="B228" i="12"/>
  <c r="C228" i="12" s="1"/>
  <c r="B229" i="12"/>
  <c r="C229" i="12" s="1"/>
  <c r="B230" i="12"/>
  <c r="C230" i="12" s="1"/>
  <c r="B231" i="12"/>
  <c r="C231" i="12" s="1"/>
  <c r="B232" i="12"/>
  <c r="C232" i="12" s="1"/>
  <c r="B233" i="12"/>
  <c r="C233" i="12" s="1"/>
  <c r="B234" i="12"/>
  <c r="C234" i="12" s="1"/>
  <c r="B235" i="12"/>
  <c r="C235" i="12" s="1"/>
  <c r="B236" i="12"/>
  <c r="C236" i="12" s="1"/>
  <c r="B237" i="12"/>
  <c r="C237" i="12" s="1"/>
  <c r="B238" i="12"/>
  <c r="C238" i="12" s="1"/>
  <c r="B239" i="12"/>
  <c r="C239" i="12" s="1"/>
  <c r="B240" i="12"/>
  <c r="C240" i="12" s="1"/>
  <c r="B241" i="12"/>
  <c r="C241" i="12" s="1"/>
  <c r="B242" i="12"/>
  <c r="C242" i="12" s="1"/>
  <c r="B243" i="12"/>
  <c r="C243" i="12" s="1"/>
  <c r="B244" i="12"/>
  <c r="C244" i="12" s="1"/>
  <c r="B245" i="12"/>
  <c r="C245" i="12" s="1"/>
  <c r="B246" i="12"/>
  <c r="C246" i="12" s="1"/>
  <c r="B247" i="12"/>
  <c r="C247" i="12" s="1"/>
  <c r="B248" i="12"/>
  <c r="C248" i="12" s="1"/>
  <c r="B249" i="12"/>
  <c r="C249" i="12" s="1"/>
  <c r="B250" i="12"/>
  <c r="C250" i="12" s="1"/>
  <c r="B251" i="12"/>
  <c r="C251" i="12" s="1"/>
  <c r="B252" i="12"/>
  <c r="C252" i="12" s="1"/>
  <c r="B253" i="12"/>
  <c r="C253" i="12" s="1"/>
  <c r="B254" i="12"/>
  <c r="C254" i="12" s="1"/>
  <c r="B255" i="12"/>
  <c r="C255" i="12" s="1"/>
  <c r="B256" i="12"/>
  <c r="C256" i="12" s="1"/>
  <c r="B257" i="12"/>
  <c r="C257" i="12" s="1"/>
  <c r="B258" i="12"/>
  <c r="C258" i="12" s="1"/>
  <c r="B259" i="12"/>
  <c r="C259" i="12" s="1"/>
  <c r="B260" i="12"/>
  <c r="C260" i="12" s="1"/>
  <c r="B261" i="12"/>
  <c r="C261" i="12" s="1"/>
  <c r="B262" i="12"/>
  <c r="C262" i="12" s="1"/>
  <c r="B263" i="12"/>
  <c r="C263" i="12" s="1"/>
  <c r="B264" i="12"/>
  <c r="C264" i="12" s="1"/>
  <c r="B265" i="12"/>
  <c r="C265" i="12" s="1"/>
  <c r="B266" i="12"/>
  <c r="C266" i="12" s="1"/>
  <c r="B267" i="12"/>
  <c r="C267" i="12" s="1"/>
  <c r="B268" i="12"/>
  <c r="C268" i="12" s="1"/>
  <c r="B269" i="12"/>
  <c r="C269" i="12" s="1"/>
  <c r="B270" i="12"/>
  <c r="C270" i="12" s="1"/>
  <c r="B271" i="12"/>
  <c r="C271" i="12" s="1"/>
  <c r="B272" i="12"/>
  <c r="C272" i="12" s="1"/>
  <c r="B273" i="12"/>
  <c r="C273" i="12" s="1"/>
  <c r="B274" i="12"/>
  <c r="C274" i="12" s="1"/>
  <c r="B275" i="12"/>
  <c r="C275" i="12" s="1"/>
  <c r="B276" i="12"/>
  <c r="C276" i="12" s="1"/>
  <c r="B277" i="12"/>
  <c r="C277" i="12" s="1"/>
  <c r="B278" i="12"/>
  <c r="C278" i="12" s="1"/>
  <c r="B279" i="12"/>
  <c r="C279" i="12" s="1"/>
  <c r="B280" i="12"/>
  <c r="C280" i="12" s="1"/>
  <c r="B281" i="12"/>
  <c r="C281" i="12" s="1"/>
  <c r="B282" i="12"/>
  <c r="C282" i="12" s="1"/>
  <c r="B283" i="12"/>
  <c r="C283" i="12" s="1"/>
  <c r="B284" i="12"/>
  <c r="C284" i="12" s="1"/>
  <c r="B285" i="12"/>
  <c r="C285" i="12" s="1"/>
  <c r="B286" i="12"/>
  <c r="C286" i="12" s="1"/>
  <c r="B287" i="12"/>
  <c r="C287" i="12" s="1"/>
  <c r="B288" i="12"/>
  <c r="C288" i="12" s="1"/>
  <c r="B289" i="12"/>
  <c r="C289" i="12" s="1"/>
  <c r="B290" i="12"/>
  <c r="C290" i="12" s="1"/>
  <c r="B291" i="12"/>
  <c r="C291" i="12" s="1"/>
  <c r="B292" i="12"/>
  <c r="C292" i="12" s="1"/>
  <c r="B293" i="12"/>
  <c r="C293" i="12" s="1"/>
  <c r="B294" i="12"/>
  <c r="C294" i="12" s="1"/>
  <c r="B295" i="12"/>
  <c r="C295" i="12" s="1"/>
  <c r="B296" i="12"/>
  <c r="C296" i="12" s="1"/>
  <c r="B297" i="12"/>
  <c r="C297" i="12" s="1"/>
  <c r="B298" i="12"/>
  <c r="C298" i="12" s="1"/>
  <c r="B299" i="12"/>
  <c r="C299" i="12" s="1"/>
  <c r="B300" i="12"/>
  <c r="C300" i="12" s="1"/>
  <c r="B301" i="12"/>
  <c r="C301" i="12" s="1"/>
  <c r="B302" i="12"/>
  <c r="C302" i="12" s="1"/>
  <c r="B303" i="12"/>
  <c r="C303" i="12" s="1"/>
  <c r="B304" i="12"/>
  <c r="C304" i="12" s="1"/>
  <c r="B305" i="12"/>
  <c r="C305" i="12" s="1"/>
  <c r="B306" i="12"/>
  <c r="C306" i="12" s="1"/>
  <c r="B307" i="12"/>
  <c r="C307" i="12" s="1"/>
  <c r="B308" i="12"/>
  <c r="C308" i="12" s="1"/>
  <c r="B309" i="12"/>
  <c r="C309" i="12" s="1"/>
  <c r="B310" i="12"/>
  <c r="C310" i="12" s="1"/>
  <c r="B311" i="12"/>
  <c r="C311" i="12" s="1"/>
  <c r="B312" i="12"/>
  <c r="C312" i="12" s="1"/>
  <c r="B313" i="12"/>
  <c r="C313" i="12" s="1"/>
  <c r="B314" i="12"/>
  <c r="C314" i="12" s="1"/>
  <c r="B315" i="12"/>
  <c r="C315" i="12" s="1"/>
  <c r="B316" i="12"/>
  <c r="C316" i="12" s="1"/>
  <c r="B317" i="12"/>
  <c r="C317" i="12" s="1"/>
  <c r="B318" i="12"/>
  <c r="C318" i="12" s="1"/>
  <c r="B319" i="12"/>
  <c r="C319" i="12" s="1"/>
  <c r="B320" i="12"/>
  <c r="C320" i="12" s="1"/>
  <c r="B321" i="12"/>
  <c r="C321" i="12" s="1"/>
  <c r="B322" i="12"/>
  <c r="C322" i="12" s="1"/>
  <c r="B323" i="12"/>
  <c r="C323" i="12" s="1"/>
  <c r="B324" i="12"/>
  <c r="C324" i="12" s="1"/>
  <c r="B325" i="12"/>
  <c r="C325" i="12" s="1"/>
  <c r="B326" i="12"/>
  <c r="C326" i="12" s="1"/>
  <c r="B327" i="12"/>
  <c r="C327" i="12" s="1"/>
  <c r="B328" i="12"/>
  <c r="C328" i="12" s="1"/>
  <c r="B329" i="12"/>
  <c r="C329" i="12" s="1"/>
  <c r="B330" i="12"/>
  <c r="C330" i="12" s="1"/>
  <c r="B331" i="12"/>
  <c r="C331" i="12" s="1"/>
  <c r="B332" i="12"/>
  <c r="C332" i="12" s="1"/>
  <c r="B333" i="12"/>
  <c r="C333" i="12" s="1"/>
  <c r="B334" i="12"/>
  <c r="C334" i="12" s="1"/>
  <c r="B335" i="12"/>
  <c r="C335" i="12" s="1"/>
  <c r="B336" i="12"/>
  <c r="C336" i="12" s="1"/>
  <c r="B337" i="12"/>
  <c r="C337" i="12" s="1"/>
  <c r="B338" i="12"/>
  <c r="C338" i="12" s="1"/>
  <c r="B339" i="12"/>
  <c r="C339" i="12" s="1"/>
  <c r="B340" i="12"/>
  <c r="C340" i="12" s="1"/>
  <c r="B341" i="12"/>
  <c r="C341" i="12" s="1"/>
  <c r="B342" i="12"/>
  <c r="C342" i="12" s="1"/>
  <c r="B343" i="12"/>
  <c r="C343" i="12" s="1"/>
  <c r="B344" i="12"/>
  <c r="C344" i="12" s="1"/>
  <c r="B345" i="12"/>
  <c r="C345" i="12" s="1"/>
  <c r="B346" i="12"/>
  <c r="C346" i="12" s="1"/>
  <c r="B347" i="12"/>
  <c r="C347" i="12" s="1"/>
  <c r="B348" i="12"/>
  <c r="C348" i="12" s="1"/>
  <c r="B349" i="12"/>
  <c r="C349" i="12" s="1"/>
  <c r="B350" i="12"/>
  <c r="C350" i="12" s="1"/>
  <c r="B351" i="12"/>
  <c r="C351" i="12" s="1"/>
  <c r="B352" i="12"/>
  <c r="C352" i="12" s="1"/>
  <c r="B353" i="12"/>
  <c r="C353" i="12" s="1"/>
  <c r="B354" i="12"/>
  <c r="C354" i="12" s="1"/>
  <c r="B355" i="12"/>
  <c r="C355" i="12" s="1"/>
  <c r="B356" i="12"/>
  <c r="C356" i="12" s="1"/>
  <c r="B357" i="12"/>
  <c r="C357" i="12" s="1"/>
  <c r="B358" i="12"/>
  <c r="C358" i="12" s="1"/>
  <c r="B359" i="12"/>
  <c r="C359" i="12" s="1"/>
  <c r="B360" i="12"/>
  <c r="C360" i="12" s="1"/>
  <c r="B361" i="12"/>
  <c r="C361" i="12" s="1"/>
  <c r="B362" i="12"/>
  <c r="C362" i="12" s="1"/>
  <c r="B363" i="12"/>
  <c r="C363" i="12" s="1"/>
  <c r="B364" i="12"/>
  <c r="C364" i="12" s="1"/>
  <c r="B365" i="12"/>
  <c r="C365" i="12" s="1"/>
  <c r="B366" i="12"/>
  <c r="C366" i="12" s="1"/>
  <c r="B367" i="12"/>
  <c r="C367" i="12" s="1"/>
  <c r="B368" i="12"/>
  <c r="C368" i="12" s="1"/>
  <c r="B369" i="12"/>
  <c r="C369" i="12" s="1"/>
  <c r="B370" i="12"/>
  <c r="C370" i="12" s="1"/>
  <c r="B371" i="12"/>
  <c r="C371" i="12" s="1"/>
  <c r="B372" i="12"/>
  <c r="C372" i="12" s="1"/>
  <c r="B373" i="12"/>
  <c r="C373" i="12" s="1"/>
  <c r="B374" i="12"/>
  <c r="C374" i="12" s="1"/>
  <c r="B375" i="12"/>
  <c r="C375" i="12" s="1"/>
  <c r="B376" i="12"/>
  <c r="C376" i="12" s="1"/>
  <c r="B377" i="12"/>
  <c r="C377" i="12" s="1"/>
  <c r="B378" i="12"/>
  <c r="C378" i="12" s="1"/>
  <c r="B379" i="12"/>
  <c r="C379" i="12" s="1"/>
  <c r="B380" i="12"/>
  <c r="C380" i="12" s="1"/>
  <c r="B381" i="12"/>
  <c r="C381" i="12" s="1"/>
  <c r="B382" i="12"/>
  <c r="C382" i="12" s="1"/>
  <c r="B383" i="12"/>
  <c r="C383" i="12" s="1"/>
  <c r="B384" i="12"/>
  <c r="C384" i="12" s="1"/>
  <c r="B385" i="12"/>
  <c r="C385" i="12" s="1"/>
  <c r="B386" i="12"/>
  <c r="C386" i="12" s="1"/>
  <c r="B387" i="12"/>
  <c r="C387" i="12" s="1"/>
  <c r="B388" i="12"/>
  <c r="C388" i="12" s="1"/>
  <c r="B389" i="12"/>
  <c r="C389" i="12" s="1"/>
  <c r="B390" i="12"/>
  <c r="C390" i="12" s="1"/>
  <c r="B391" i="12"/>
  <c r="C391" i="12" s="1"/>
  <c r="B392" i="12"/>
  <c r="C392" i="12" s="1"/>
  <c r="B393" i="12"/>
  <c r="C393" i="12" s="1"/>
  <c r="B394" i="12"/>
  <c r="C394" i="12" s="1"/>
  <c r="B395" i="12"/>
  <c r="C395" i="12" s="1"/>
  <c r="B396" i="12"/>
  <c r="C396" i="12" s="1"/>
  <c r="B397" i="12"/>
  <c r="C397" i="12" s="1"/>
  <c r="B398" i="12"/>
  <c r="C398" i="12" s="1"/>
  <c r="B399" i="12"/>
  <c r="C399" i="12" s="1"/>
  <c r="B400" i="12"/>
  <c r="C400" i="12" s="1"/>
  <c r="B401" i="12"/>
  <c r="C401" i="12" s="1"/>
  <c r="B402" i="12"/>
  <c r="C402" i="12" s="1"/>
  <c r="B403" i="12"/>
  <c r="C403" i="12" s="1"/>
  <c r="B404" i="12"/>
  <c r="C404" i="12" s="1"/>
  <c r="B405" i="12"/>
  <c r="C405" i="12" s="1"/>
  <c r="B406" i="12"/>
  <c r="C406" i="12" s="1"/>
  <c r="B407" i="12"/>
  <c r="C407" i="12" s="1"/>
  <c r="B408" i="12"/>
  <c r="C408" i="12" s="1"/>
  <c r="B409" i="12"/>
  <c r="C409" i="12" s="1"/>
  <c r="B410" i="12"/>
  <c r="C410" i="12" s="1"/>
  <c r="B411" i="12"/>
  <c r="C411" i="12" s="1"/>
  <c r="B412" i="12"/>
  <c r="C412" i="12" s="1"/>
  <c r="B413" i="12"/>
  <c r="C413" i="12" s="1"/>
  <c r="B414" i="12"/>
  <c r="C414" i="12" s="1"/>
  <c r="B415" i="12"/>
  <c r="C415" i="12" s="1"/>
  <c r="B416" i="12"/>
  <c r="C416" i="12" s="1"/>
  <c r="B417" i="12"/>
  <c r="C417" i="12" s="1"/>
  <c r="B418" i="12"/>
  <c r="C418" i="12" s="1"/>
  <c r="B419" i="12"/>
  <c r="C419" i="12" s="1"/>
  <c r="B420" i="12"/>
  <c r="C420" i="12" s="1"/>
  <c r="B421" i="12"/>
  <c r="C421" i="12" s="1"/>
  <c r="B422" i="12"/>
  <c r="C422" i="12" s="1"/>
  <c r="B423" i="12"/>
  <c r="C423" i="12" s="1"/>
  <c r="B424" i="12"/>
  <c r="C424" i="12" s="1"/>
  <c r="B425" i="12"/>
  <c r="C425" i="12" s="1"/>
  <c r="B426" i="12"/>
  <c r="C426" i="12" s="1"/>
  <c r="B427" i="12"/>
  <c r="C427" i="12" s="1"/>
  <c r="B428" i="12"/>
  <c r="C428" i="12" s="1"/>
  <c r="B429" i="12"/>
  <c r="C429" i="12" s="1"/>
  <c r="B430" i="12"/>
  <c r="C430" i="12" s="1"/>
  <c r="B431" i="12"/>
  <c r="C431" i="12" s="1"/>
  <c r="B432" i="12"/>
  <c r="C432" i="12" s="1"/>
  <c r="B433" i="12"/>
  <c r="C433" i="12" s="1"/>
  <c r="B434" i="12"/>
  <c r="C434" i="12" s="1"/>
  <c r="B435" i="12"/>
  <c r="C435" i="12" s="1"/>
  <c r="B436" i="12"/>
  <c r="C436" i="12" s="1"/>
  <c r="B437" i="12"/>
  <c r="C437" i="12" s="1"/>
  <c r="B438" i="12"/>
  <c r="C438" i="12" s="1"/>
  <c r="B439" i="12"/>
  <c r="C439" i="12" s="1"/>
  <c r="B440" i="12"/>
  <c r="C440" i="12" s="1"/>
  <c r="B441" i="12"/>
  <c r="C441" i="12" s="1"/>
  <c r="B442" i="12"/>
  <c r="C442" i="12" s="1"/>
  <c r="B443" i="12"/>
  <c r="C443" i="12" s="1"/>
  <c r="B444" i="12"/>
  <c r="C444" i="12" s="1"/>
  <c r="B445" i="12"/>
  <c r="C445" i="12" s="1"/>
  <c r="B446" i="12"/>
  <c r="C446" i="12" s="1"/>
  <c r="B447" i="12"/>
  <c r="C447" i="12" s="1"/>
  <c r="B448" i="12"/>
  <c r="C448" i="12" s="1"/>
  <c r="B449" i="12"/>
  <c r="C449" i="12" s="1"/>
  <c r="B450" i="12"/>
  <c r="C450" i="12" s="1"/>
  <c r="B451" i="12"/>
  <c r="C451" i="12" s="1"/>
  <c r="B452" i="12"/>
  <c r="C452" i="12" s="1"/>
  <c r="B453" i="12"/>
  <c r="C453" i="12" s="1"/>
  <c r="B454" i="12"/>
  <c r="C454" i="12" s="1"/>
  <c r="B455" i="12"/>
  <c r="C455" i="12" s="1"/>
  <c r="B456" i="12"/>
  <c r="C456" i="12" s="1"/>
  <c r="B457" i="12"/>
  <c r="C457" i="12" s="1"/>
  <c r="B458" i="12"/>
  <c r="C458" i="12" s="1"/>
  <c r="B459" i="12"/>
  <c r="C459" i="12" s="1"/>
  <c r="B460" i="12"/>
  <c r="C460" i="12" s="1"/>
  <c r="B461" i="12"/>
  <c r="C461" i="12" s="1"/>
  <c r="B462" i="12"/>
  <c r="C462" i="12" s="1"/>
  <c r="B463" i="12"/>
  <c r="C463" i="12" s="1"/>
  <c r="B464" i="12"/>
  <c r="C464" i="12" s="1"/>
  <c r="B465" i="12"/>
  <c r="C465" i="12" s="1"/>
  <c r="B466" i="12"/>
  <c r="C466" i="12" s="1"/>
  <c r="B467" i="12"/>
  <c r="C467" i="12" s="1"/>
  <c r="B468" i="12"/>
  <c r="C468" i="12" s="1"/>
  <c r="B469" i="12"/>
  <c r="C469" i="12" s="1"/>
  <c r="B470" i="12"/>
  <c r="C470" i="12" s="1"/>
  <c r="B471" i="12"/>
  <c r="C471" i="12" s="1"/>
  <c r="B472" i="12"/>
  <c r="C472" i="12" s="1"/>
  <c r="B473" i="12"/>
  <c r="C473" i="12" s="1"/>
  <c r="B474" i="12"/>
  <c r="C474" i="12" s="1"/>
  <c r="B475" i="12"/>
  <c r="C475" i="12" s="1"/>
  <c r="B476" i="12"/>
  <c r="C476" i="12" s="1"/>
  <c r="B477" i="12"/>
  <c r="C477" i="12" s="1"/>
  <c r="B478" i="12"/>
  <c r="C478" i="12" s="1"/>
  <c r="B479" i="12"/>
  <c r="C479" i="12" s="1"/>
  <c r="B480" i="12"/>
  <c r="C480" i="12" s="1"/>
  <c r="B481" i="12"/>
  <c r="C481" i="12" s="1"/>
  <c r="B482" i="12"/>
  <c r="C482" i="12" s="1"/>
  <c r="B483" i="12"/>
  <c r="C483" i="12" s="1"/>
  <c r="B484" i="12"/>
  <c r="C484" i="12" s="1"/>
  <c r="B485" i="12"/>
  <c r="C485" i="12" s="1"/>
  <c r="B486" i="12"/>
  <c r="C486" i="12" s="1"/>
  <c r="B487" i="12"/>
  <c r="C487" i="12" s="1"/>
  <c r="B488" i="12"/>
  <c r="C488" i="12" s="1"/>
  <c r="B489" i="12"/>
  <c r="C489" i="12" s="1"/>
  <c r="B490" i="12"/>
  <c r="C490" i="12" s="1"/>
  <c r="B491" i="12"/>
  <c r="C491" i="12" s="1"/>
  <c r="B492" i="12"/>
  <c r="C492" i="12" s="1"/>
  <c r="B493" i="12"/>
  <c r="C493" i="12" s="1"/>
  <c r="B494" i="12"/>
  <c r="C494" i="12" s="1"/>
  <c r="B495" i="12"/>
  <c r="C495" i="12" s="1"/>
  <c r="B496" i="12"/>
  <c r="C496" i="12" s="1"/>
  <c r="B497" i="12"/>
  <c r="C497" i="12" s="1"/>
  <c r="B498" i="12"/>
  <c r="C498" i="12" s="1"/>
  <c r="B499" i="12"/>
  <c r="C499" i="12" s="1"/>
  <c r="B500" i="12"/>
  <c r="C500" i="12" s="1"/>
  <c r="B501" i="12"/>
  <c r="C501" i="12" s="1"/>
  <c r="B502" i="12"/>
  <c r="C502" i="12" s="1"/>
  <c r="B3" i="11"/>
  <c r="C3" i="11" s="1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36" i="10"/>
  <c r="F98" i="14" l="1"/>
  <c r="E98" i="14"/>
  <c r="F94" i="14"/>
  <c r="E94" i="14"/>
  <c r="E82" i="14"/>
  <c r="F82" i="14"/>
  <c r="E70" i="14"/>
  <c r="F70" i="14"/>
  <c r="E58" i="14"/>
  <c r="F58" i="14"/>
  <c r="E46" i="14"/>
  <c r="F46" i="14"/>
  <c r="E34" i="14"/>
  <c r="F34" i="14"/>
  <c r="E22" i="14"/>
  <c r="F22" i="14"/>
  <c r="E18" i="14"/>
  <c r="F18" i="14"/>
  <c r="E6" i="14"/>
  <c r="F6" i="14"/>
  <c r="F101" i="14"/>
  <c r="E101" i="14"/>
  <c r="F97" i="14"/>
  <c r="E97" i="14"/>
  <c r="F93" i="14"/>
  <c r="E93" i="14"/>
  <c r="F89" i="14"/>
  <c r="E89" i="14"/>
  <c r="E85" i="14"/>
  <c r="F85" i="14"/>
  <c r="E81" i="14"/>
  <c r="F81" i="14"/>
  <c r="E77" i="14"/>
  <c r="F77" i="14"/>
  <c r="E73" i="14"/>
  <c r="F73" i="14"/>
  <c r="E69" i="14"/>
  <c r="F69" i="14"/>
  <c r="E65" i="14"/>
  <c r="F65" i="14"/>
  <c r="E61" i="14"/>
  <c r="F61" i="14"/>
  <c r="E57" i="14"/>
  <c r="F57" i="14"/>
  <c r="E53" i="14"/>
  <c r="F53" i="14"/>
  <c r="E49" i="14"/>
  <c r="F49" i="14"/>
  <c r="E45" i="14"/>
  <c r="F45" i="14"/>
  <c r="E41" i="14"/>
  <c r="F41" i="14"/>
  <c r="E37" i="14"/>
  <c r="F37" i="14"/>
  <c r="E33" i="14"/>
  <c r="F33" i="14"/>
  <c r="E29" i="14"/>
  <c r="F29" i="14"/>
  <c r="E25" i="14"/>
  <c r="F25" i="14"/>
  <c r="E21" i="14"/>
  <c r="F21" i="14"/>
  <c r="E17" i="14"/>
  <c r="F17" i="14"/>
  <c r="E13" i="14"/>
  <c r="F13" i="14"/>
  <c r="E9" i="14"/>
  <c r="F9" i="14"/>
  <c r="E5" i="14"/>
  <c r="F5" i="14"/>
  <c r="F90" i="14"/>
  <c r="E90" i="14"/>
  <c r="E78" i="14"/>
  <c r="F78" i="14"/>
  <c r="E66" i="14"/>
  <c r="F66" i="14"/>
  <c r="E54" i="14"/>
  <c r="F54" i="14"/>
  <c r="E42" i="14"/>
  <c r="F42" i="14"/>
  <c r="E30" i="14"/>
  <c r="F30" i="14"/>
  <c r="E14" i="14"/>
  <c r="F14" i="14"/>
  <c r="F100" i="14"/>
  <c r="E100" i="14"/>
  <c r="F96" i="14"/>
  <c r="E96" i="14"/>
  <c r="F92" i="14"/>
  <c r="E92" i="14"/>
  <c r="E88" i="14"/>
  <c r="F88" i="14"/>
  <c r="E84" i="14"/>
  <c r="F84" i="14"/>
  <c r="E80" i="14"/>
  <c r="F80" i="14"/>
  <c r="E76" i="14"/>
  <c r="F76" i="14"/>
  <c r="E72" i="14"/>
  <c r="F72" i="14"/>
  <c r="E68" i="14"/>
  <c r="F68" i="14"/>
  <c r="E64" i="14"/>
  <c r="F64" i="14"/>
  <c r="E60" i="14"/>
  <c r="F60" i="14"/>
  <c r="E56" i="14"/>
  <c r="F56" i="14"/>
  <c r="E52" i="14"/>
  <c r="F52" i="14"/>
  <c r="E48" i="14"/>
  <c r="F48" i="14"/>
  <c r="E44" i="14"/>
  <c r="F44" i="14"/>
  <c r="E40" i="14"/>
  <c r="F40" i="14"/>
  <c r="E36" i="14"/>
  <c r="F36" i="14"/>
  <c r="E32" i="14"/>
  <c r="F32" i="14"/>
  <c r="E28" i="14"/>
  <c r="F28" i="14"/>
  <c r="E24" i="14"/>
  <c r="F24" i="14"/>
  <c r="E20" i="14"/>
  <c r="F20" i="14"/>
  <c r="E16" i="14"/>
  <c r="F16" i="14"/>
  <c r="E12" i="14"/>
  <c r="F12" i="14"/>
  <c r="E8" i="14"/>
  <c r="F8" i="14"/>
  <c r="E4" i="14"/>
  <c r="F4" i="14"/>
  <c r="F102" i="14"/>
  <c r="E102" i="14"/>
  <c r="E86" i="14"/>
  <c r="F86" i="14"/>
  <c r="E74" i="14"/>
  <c r="F74" i="14"/>
  <c r="E62" i="14"/>
  <c r="F62" i="14"/>
  <c r="E50" i="14"/>
  <c r="F50" i="14"/>
  <c r="E38" i="14"/>
  <c r="F38" i="14"/>
  <c r="E26" i="14"/>
  <c r="F26" i="14"/>
  <c r="E10" i="14"/>
  <c r="F10" i="14"/>
  <c r="F99" i="14"/>
  <c r="E99" i="14"/>
  <c r="F95" i="14"/>
  <c r="E95" i="14"/>
  <c r="F91" i="14"/>
  <c r="E91" i="14"/>
  <c r="E87" i="14"/>
  <c r="F87" i="14"/>
  <c r="E83" i="14"/>
  <c r="F83" i="14"/>
  <c r="E79" i="14"/>
  <c r="F79" i="14"/>
  <c r="E75" i="14"/>
  <c r="F75" i="14"/>
  <c r="E71" i="14"/>
  <c r="F71" i="14"/>
  <c r="E67" i="14"/>
  <c r="F67" i="14"/>
  <c r="E63" i="14"/>
  <c r="F63" i="14"/>
  <c r="E59" i="14"/>
  <c r="F59" i="14"/>
  <c r="E55" i="14"/>
  <c r="F55" i="14"/>
  <c r="E51" i="14"/>
  <c r="F51" i="14"/>
  <c r="E47" i="14"/>
  <c r="F47" i="14"/>
  <c r="E43" i="14"/>
  <c r="F43" i="14"/>
  <c r="E39" i="14"/>
  <c r="F39" i="14"/>
  <c r="E35" i="14"/>
  <c r="F35" i="14"/>
  <c r="E31" i="14"/>
  <c r="F31" i="14"/>
  <c r="E27" i="14"/>
  <c r="F27" i="14"/>
  <c r="E23" i="14"/>
  <c r="F23" i="14"/>
  <c r="E19" i="14"/>
  <c r="F19" i="14"/>
  <c r="E15" i="14"/>
  <c r="F15" i="14"/>
  <c r="E11" i="14"/>
  <c r="F11" i="14"/>
  <c r="E7" i="14"/>
  <c r="F7" i="14"/>
  <c r="D3" i="11"/>
  <c r="F106" i="10"/>
  <c r="G106" i="10" s="1"/>
  <c r="F115" i="10"/>
  <c r="G115" i="10" s="1"/>
  <c r="F37" i="10"/>
  <c r="G37" i="10" s="1"/>
  <c r="E62" i="10"/>
  <c r="F62" i="10"/>
  <c r="F51" i="10"/>
  <c r="E51" i="10"/>
  <c r="E134" i="10"/>
  <c r="F134" i="10"/>
  <c r="E50" i="10"/>
  <c r="F50" i="10"/>
  <c r="F74" i="10"/>
  <c r="G74" i="10" s="1"/>
  <c r="E126" i="10"/>
  <c r="G126" i="10" s="1"/>
  <c r="F85" i="10"/>
  <c r="G85" i="10" s="1"/>
  <c r="F38" i="10"/>
  <c r="G38" i="10" s="1"/>
  <c r="F130" i="10"/>
  <c r="G130" i="10" s="1"/>
  <c r="F70" i="10"/>
  <c r="G70" i="10" s="1"/>
  <c r="E58" i="10"/>
  <c r="G58" i="10" s="1"/>
  <c r="F49" i="10"/>
  <c r="G49" i="10" s="1"/>
  <c r="F135" i="10"/>
  <c r="E135" i="10"/>
  <c r="E100" i="10"/>
  <c r="F100" i="10"/>
  <c r="F88" i="10"/>
  <c r="E88" i="10"/>
  <c r="E93" i="10"/>
  <c r="F93" i="10"/>
  <c r="F46" i="10"/>
  <c r="E46" i="10"/>
  <c r="E96" i="10"/>
  <c r="F96" i="10"/>
  <c r="E84" i="10"/>
  <c r="F84" i="10"/>
  <c r="F131" i="10"/>
  <c r="G131" i="10" s="1"/>
  <c r="E127" i="10"/>
  <c r="G127" i="10" s="1"/>
  <c r="E111" i="10"/>
  <c r="G111" i="10" s="1"/>
  <c r="F94" i="10"/>
  <c r="E94" i="10"/>
  <c r="F66" i="10"/>
  <c r="G66" i="10" s="1"/>
  <c r="F73" i="10"/>
  <c r="E73" i="10"/>
  <c r="E122" i="10"/>
  <c r="F122" i="10"/>
  <c r="E81" i="10"/>
  <c r="G81" i="10" s="1"/>
  <c r="F45" i="10"/>
  <c r="E45" i="10"/>
  <c r="E101" i="10"/>
  <c r="F101" i="10"/>
  <c r="E41" i="10"/>
  <c r="F41" i="10"/>
  <c r="E129" i="10"/>
  <c r="F129" i="10"/>
  <c r="F54" i="10"/>
  <c r="G54" i="10" s="1"/>
  <c r="E3" i="14"/>
  <c r="G3" i="14" s="1"/>
  <c r="F6" i="12"/>
  <c r="F65" i="10"/>
  <c r="E65" i="10"/>
  <c r="E128" i="10"/>
  <c r="G128" i="10" s="1"/>
  <c r="E119" i="10"/>
  <c r="G119" i="10" s="1"/>
  <c r="E114" i="10"/>
  <c r="F114" i="10"/>
  <c r="F105" i="10"/>
  <c r="G105" i="10" s="1"/>
  <c r="F78" i="10"/>
  <c r="G78" i="10" s="1"/>
  <c r="E43" i="10"/>
  <c r="G43" i="10" s="1"/>
  <c r="F7" i="12"/>
  <c r="F104" i="10"/>
  <c r="E104" i="10"/>
  <c r="F9" i="12"/>
  <c r="F79" i="10"/>
  <c r="E79" i="10"/>
  <c r="E99" i="10"/>
  <c r="F99" i="10"/>
  <c r="F112" i="10"/>
  <c r="E112" i="10"/>
  <c r="F5" i="12"/>
  <c r="F4" i="12"/>
  <c r="E90" i="10"/>
  <c r="F90" i="10"/>
  <c r="E83" i="10"/>
  <c r="F83" i="10"/>
  <c r="E60" i="10"/>
  <c r="F60" i="10"/>
  <c r="F11" i="12"/>
  <c r="E123" i="10"/>
  <c r="G123" i="10" s="1"/>
  <c r="F113" i="10"/>
  <c r="G113" i="10" s="1"/>
  <c r="E110" i="10"/>
  <c r="F110" i="10"/>
  <c r="F59" i="10"/>
  <c r="E59" i="10"/>
  <c r="F55" i="10"/>
  <c r="E55" i="10"/>
  <c r="E102" i="10"/>
  <c r="F102" i="10"/>
  <c r="F8" i="12"/>
  <c r="F13" i="12"/>
  <c r="F12" i="12"/>
  <c r="E117" i="10"/>
  <c r="F117" i="10"/>
  <c r="E107" i="10"/>
  <c r="F107" i="10"/>
  <c r="E86" i="10"/>
  <c r="F86" i="10"/>
  <c r="F67" i="10"/>
  <c r="E67" i="10"/>
  <c r="F63" i="10"/>
  <c r="E63" i="10"/>
  <c r="E44" i="10"/>
  <c r="F44" i="10"/>
  <c r="F10" i="12"/>
  <c r="E89" i="10"/>
  <c r="F89" i="10"/>
  <c r="F95" i="10"/>
  <c r="E95" i="10"/>
  <c r="E133" i="10"/>
  <c r="F133" i="10"/>
  <c r="F77" i="10"/>
  <c r="E77" i="10"/>
  <c r="E118" i="10"/>
  <c r="F118" i="10"/>
  <c r="E98" i="10"/>
  <c r="F98" i="10"/>
  <c r="E92" i="10"/>
  <c r="F92" i="10"/>
  <c r="E80" i="10"/>
  <c r="F80" i="10"/>
  <c r="E42" i="10"/>
  <c r="F42" i="10"/>
  <c r="F3" i="12"/>
  <c r="F132" i="10"/>
  <c r="G132" i="10" s="1"/>
  <c r="F124" i="10"/>
  <c r="G124" i="10" s="1"/>
  <c r="E121" i="10"/>
  <c r="F121" i="10"/>
  <c r="E76" i="10"/>
  <c r="F76" i="10"/>
  <c r="F61" i="10"/>
  <c r="E61" i="10"/>
  <c r="E57" i="10"/>
  <c r="G57" i="10" s="1"/>
  <c r="E48" i="10"/>
  <c r="F48" i="10"/>
  <c r="E109" i="10"/>
  <c r="F109" i="10"/>
  <c r="E125" i="10"/>
  <c r="F125" i="10"/>
  <c r="F39" i="10"/>
  <c r="E39" i="10"/>
  <c r="F120" i="10"/>
  <c r="E120" i="10"/>
  <c r="F75" i="10"/>
  <c r="E75" i="10"/>
  <c r="F71" i="10"/>
  <c r="E71" i="10"/>
  <c r="E64" i="10"/>
  <c r="F64" i="10"/>
  <c r="F116" i="10"/>
  <c r="G116" i="10" s="1"/>
  <c r="E97" i="10"/>
  <c r="G97" i="10" s="1"/>
  <c r="E68" i="10"/>
  <c r="F68" i="10"/>
  <c r="F47" i="10"/>
  <c r="E47" i="10"/>
  <c r="E36" i="10"/>
  <c r="F36" i="10"/>
  <c r="F108" i="10"/>
  <c r="G108" i="10" s="1"/>
  <c r="F91" i="10"/>
  <c r="G91" i="10" s="1"/>
  <c r="F82" i="10"/>
  <c r="G82" i="10" s="1"/>
  <c r="E69" i="10"/>
  <c r="G69" i="10" s="1"/>
  <c r="E53" i="10"/>
  <c r="G53" i="10" s="1"/>
  <c r="E40" i="10"/>
  <c r="F40" i="10"/>
  <c r="F103" i="10"/>
  <c r="E103" i="10"/>
  <c r="F87" i="10"/>
  <c r="E87" i="10"/>
  <c r="E72" i="10"/>
  <c r="F72" i="10"/>
  <c r="E56" i="10"/>
  <c r="F56" i="10"/>
  <c r="E52" i="10"/>
  <c r="F52" i="10"/>
  <c r="G7" i="14" l="1"/>
  <c r="G15" i="14"/>
  <c r="G23" i="14"/>
  <c r="G31" i="14"/>
  <c r="G39" i="14"/>
  <c r="G47" i="14"/>
  <c r="G55" i="14"/>
  <c r="G63" i="14"/>
  <c r="G71" i="14"/>
  <c r="G79" i="14"/>
  <c r="G87" i="14"/>
  <c r="G10" i="14"/>
  <c r="G38" i="14"/>
  <c r="G62" i="14"/>
  <c r="G86" i="14"/>
  <c r="G4" i="14"/>
  <c r="G12" i="14"/>
  <c r="G20" i="14"/>
  <c r="G28" i="14"/>
  <c r="G36" i="14"/>
  <c r="G44" i="14"/>
  <c r="G52" i="14"/>
  <c r="G60" i="14"/>
  <c r="G68" i="14"/>
  <c r="G76" i="14"/>
  <c r="G84" i="14"/>
  <c r="G30" i="14"/>
  <c r="G54" i="14"/>
  <c r="G78" i="14"/>
  <c r="G5" i="14"/>
  <c r="G13" i="14"/>
  <c r="G21" i="14"/>
  <c r="G91" i="14"/>
  <c r="G99" i="14"/>
  <c r="G102" i="14"/>
  <c r="G96" i="14"/>
  <c r="G90" i="14"/>
  <c r="G89" i="14"/>
  <c r="G97" i="14"/>
  <c r="G94" i="14"/>
  <c r="G93" i="14"/>
  <c r="G98" i="14"/>
  <c r="G101" i="14"/>
  <c r="G29" i="14"/>
  <c r="G37" i="14"/>
  <c r="G45" i="14"/>
  <c r="G53" i="14"/>
  <c r="G61" i="14"/>
  <c r="G18" i="14"/>
  <c r="G11" i="14"/>
  <c r="G19" i="14"/>
  <c r="G27" i="14"/>
  <c r="G35" i="14"/>
  <c r="G43" i="14"/>
  <c r="G51" i="14"/>
  <c r="G59" i="14"/>
  <c r="G67" i="14"/>
  <c r="G75" i="14"/>
  <c r="G83" i="14"/>
  <c r="G26" i="14"/>
  <c r="G50" i="14"/>
  <c r="G74" i="14"/>
  <c r="G8" i="14"/>
  <c r="G16" i="14"/>
  <c r="G24" i="14"/>
  <c r="G32" i="14"/>
  <c r="G40" i="14"/>
  <c r="G48" i="14"/>
  <c r="G56" i="14"/>
  <c r="G64" i="14"/>
  <c r="G72" i="14"/>
  <c r="G80" i="14"/>
  <c r="G88" i="14"/>
  <c r="G14" i="14"/>
  <c r="G42" i="14"/>
  <c r="G66" i="14"/>
  <c r="G9" i="14"/>
  <c r="G17" i="14"/>
  <c r="G25" i="14"/>
  <c r="G33" i="14"/>
  <c r="G41" i="14"/>
  <c r="G49" i="14"/>
  <c r="G57" i="14"/>
  <c r="G65" i="14"/>
  <c r="G73" i="14"/>
  <c r="G81" i="14"/>
  <c r="G6" i="14"/>
  <c r="G22" i="14"/>
  <c r="G46" i="14"/>
  <c r="G70" i="14"/>
  <c r="G95" i="14"/>
  <c r="G92" i="14"/>
  <c r="G100" i="14"/>
  <c r="G69" i="14"/>
  <c r="G77" i="14"/>
  <c r="G85" i="14"/>
  <c r="G34" i="14"/>
  <c r="G58" i="14"/>
  <c r="G82" i="14"/>
  <c r="G4" i="11"/>
  <c r="G6" i="11"/>
  <c r="G10" i="11"/>
  <c r="G7" i="11"/>
  <c r="G13" i="11"/>
  <c r="G5" i="11"/>
  <c r="G8" i="11"/>
  <c r="G3" i="11"/>
  <c r="G9" i="11"/>
  <c r="G11" i="11"/>
  <c r="G12" i="11"/>
  <c r="G101" i="10"/>
  <c r="G68" i="10"/>
  <c r="G50" i="10"/>
  <c r="G134" i="10"/>
  <c r="G62" i="10"/>
  <c r="G71" i="10"/>
  <c r="G90" i="10"/>
  <c r="G65" i="10"/>
  <c r="G96" i="10"/>
  <c r="G100" i="10"/>
  <c r="G46" i="10"/>
  <c r="G135" i="10"/>
  <c r="G114" i="10"/>
  <c r="G84" i="10"/>
  <c r="G51" i="10"/>
  <c r="G112" i="10"/>
  <c r="G129" i="10"/>
  <c r="G45" i="10"/>
  <c r="G92" i="10"/>
  <c r="G109" i="10"/>
  <c r="G48" i="10"/>
  <c r="G122" i="10"/>
  <c r="G93" i="10"/>
  <c r="G72" i="10"/>
  <c r="G121" i="10"/>
  <c r="G88" i="10"/>
  <c r="G47" i="10"/>
  <c r="G61" i="10"/>
  <c r="G98" i="10"/>
  <c r="G89" i="10"/>
  <c r="G73" i="10"/>
  <c r="G64" i="10"/>
  <c r="G42" i="10"/>
  <c r="G133" i="10"/>
  <c r="G63" i="10"/>
  <c r="G55" i="10"/>
  <c r="G60" i="10"/>
  <c r="G41" i="10"/>
  <c r="G94" i="10"/>
  <c r="G52" i="10"/>
  <c r="G87" i="10"/>
  <c r="G36" i="10"/>
  <c r="G120" i="10"/>
  <c r="G77" i="10"/>
  <c r="G86" i="10"/>
  <c r="G110" i="10"/>
  <c r="G104" i="10"/>
  <c r="G103" i="10"/>
  <c r="G39" i="10"/>
  <c r="G44" i="10"/>
  <c r="G107" i="10"/>
  <c r="G102" i="10"/>
  <c r="G56" i="10"/>
  <c r="G76" i="10"/>
  <c r="G117" i="10"/>
  <c r="G99" i="10"/>
  <c r="G40" i="10"/>
  <c r="G125" i="10"/>
  <c r="G80" i="10"/>
  <c r="G118" i="10"/>
  <c r="G67" i="10"/>
  <c r="G59" i="10"/>
  <c r="G83" i="10"/>
  <c r="G79" i="10"/>
  <c r="G75" i="10"/>
  <c r="G95" i="10"/>
  <c r="M2" i="14" l="1"/>
  <c r="M10" i="14" s="1"/>
  <c r="K20" i="10"/>
  <c r="B30" i="10"/>
  <c r="B27" i="10"/>
  <c r="B28" i="10"/>
  <c r="E29" i="10" s="1"/>
  <c r="B29" i="10"/>
  <c r="E30" i="10" l="1"/>
  <c r="E31" i="10"/>
</calcChain>
</file>

<file path=xl/comments1.xml><?xml version="1.0" encoding="utf-8"?>
<comments xmlns="http://schemas.openxmlformats.org/spreadsheetml/2006/main">
  <authors>
    <author>akhelifa3</author>
  </authors>
  <commentList>
    <comment ref="J17" authorId="0" shapeId="0">
      <text>
        <r>
          <rPr>
            <b/>
            <sz val="8"/>
            <color indexed="81"/>
            <rFont val="Tahoma"/>
            <family val="2"/>
          </rPr>
          <t>You should watch the tutorial about the data table to understand exactly what we are doing</t>
        </r>
      </text>
    </comment>
    <comment ref="D27" authorId="0" shapeId="0">
      <text>
        <r>
          <rPr>
            <b/>
            <sz val="8"/>
            <color indexed="81"/>
            <rFont val="Tahoma"/>
            <family val="2"/>
          </rPr>
          <t>100(1-alpha)%</t>
        </r>
      </text>
    </comment>
    <comment ref="D29" authorId="0" shapeId="0">
      <text>
        <r>
          <rPr>
            <b/>
            <sz val="8"/>
            <color indexed="81"/>
            <rFont val="Tahoma"/>
            <family val="2"/>
          </rPr>
          <t xml:space="preserve">When (as is often the case) we don't know the population standard deviation , we can approximate it by the sample standard deviation s, and obtain the following (good) approximation of the confidence interval: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9" authorId="0" shapeId="0">
      <text>
        <r>
          <rPr>
            <b/>
            <sz val="8"/>
            <color indexed="81"/>
            <rFont val="Tahoma"/>
            <family val="2"/>
          </rPr>
          <t xml:space="preserve">You may use the NORMSINV(p) function. 
NORMSINV(p) returns the value z such that, with probability p, a </t>
        </r>
        <r>
          <rPr>
            <b/>
            <u/>
            <sz val="8"/>
            <color indexed="81"/>
            <rFont val="Tahoma"/>
            <family val="2"/>
          </rPr>
          <t>standard normal</t>
        </r>
        <r>
          <rPr>
            <b/>
            <sz val="8"/>
            <color indexed="81"/>
            <rFont val="Tahoma"/>
            <family val="2"/>
          </rPr>
          <t xml:space="preserve"> random variable takes on a value that is less than or equal to z.</t>
        </r>
      </text>
    </comment>
  </commentList>
</comments>
</file>

<file path=xl/sharedStrings.xml><?xml version="1.0" encoding="utf-8"?>
<sst xmlns="http://schemas.openxmlformats.org/spreadsheetml/2006/main" count="81" uniqueCount="45">
  <si>
    <t>Decision variable</t>
  </si>
  <si>
    <t>Summary measures for simulation below</t>
  </si>
  <si>
    <t>95% confidence interval for expected profit</t>
  </si>
  <si>
    <t>Lower limit</t>
  </si>
  <si>
    <t>Minimum profit</t>
  </si>
  <si>
    <t>Upper limit</t>
  </si>
  <si>
    <t>Maximum profit</t>
  </si>
  <si>
    <t>Simulation</t>
  </si>
  <si>
    <t>Replication</t>
  </si>
  <si>
    <t>Random number</t>
  </si>
  <si>
    <t>Revenue</t>
  </si>
  <si>
    <t>Profit</t>
  </si>
  <si>
    <t>Num of rooms</t>
  </si>
  <si>
    <t>Room rate</t>
  </si>
  <si>
    <t>Overbook penalty</t>
  </si>
  <si>
    <t>Overbook quantity</t>
  </si>
  <si>
    <t>Data</t>
  </si>
  <si>
    <t>No Shows</t>
  </si>
  <si>
    <t xml:space="preserve">Overbook </t>
  </si>
  <si>
    <t>Penalty</t>
  </si>
  <si>
    <t>Empty Room</t>
  </si>
  <si>
    <t>Full Hotel</t>
  </si>
  <si>
    <t>Simulation of Hyatt's Overbooking Problem</t>
  </si>
  <si>
    <t xml:space="preserve">The Hyatt Regency in downtown Atlanta has 100 rooms of capacity which it sells at a rate of $150 per night.  The room reservations are fully refundable and the hotel has historically had a number of customers no show each day.  The probability distribution for the number of no shows is provided below.  If a customer with a reservation arrives and no room is available for them, they are refunded their $150 rate and also given $25 for their inconvenience. We will determine the best overbooking quantity using both expectation and simulation.
</t>
  </si>
  <si>
    <t>Data Table to show Average profit 
as a function of overbooking number</t>
  </si>
  <si>
    <t>Overbooking Number</t>
  </si>
  <si>
    <t>Average profit [θ]</t>
  </si>
  <si>
    <t>Stdev of profit [σ]</t>
  </si>
  <si>
    <t>number of Obs</t>
  </si>
  <si>
    <t>n</t>
  </si>
  <si>
    <t>95% CI</t>
  </si>
  <si>
    <t>z(alpha/2)*σ/√n</t>
  </si>
  <si>
    <t>θ-z(alpha/2)*σ/√n</t>
  </si>
  <si>
    <t>θ+z(alpha/2)*σ/√n</t>
  </si>
  <si>
    <t>mean</t>
  </si>
  <si>
    <t>standard deviation</t>
  </si>
  <si>
    <t>noshow distribution</t>
  </si>
  <si>
    <t>No Show</t>
  </si>
  <si>
    <t>Frequency</t>
  </si>
  <si>
    <t>Overbook</t>
  </si>
  <si>
    <t>overbook</t>
  </si>
  <si>
    <t>profit</t>
  </si>
  <si>
    <t>Draw from Dist</t>
  </si>
  <si>
    <t>NORM.INV(B3,$I$3,$J$3)</t>
  </si>
  <si>
    <t>Denial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</si>
</sst>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Garamond"/>
      <family val="1"/>
    </font>
    <font>
      <sz val="14"/>
      <color rgb="FF000000"/>
      <name val="Garamond"/>
      <family val="1"/>
    </font>
    <font>
      <sz val="10"/>
      <name val="Garamond"/>
      <family val="1"/>
    </font>
    <font>
      <sz val="11"/>
      <name val="Garamond"/>
      <family val="1"/>
    </font>
    <font>
      <b/>
      <sz val="11"/>
      <name val="Garamond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Garamond"/>
      <family val="1"/>
    </font>
    <font>
      <b/>
      <u/>
      <sz val="8"/>
      <color indexed="81"/>
      <name val="Tahoma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/>
      <diagonal/>
    </border>
    <border>
      <left/>
      <right style="medium">
        <color indexed="12"/>
      </right>
      <top/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12"/>
      </left>
      <right style="medium">
        <color indexed="12"/>
      </right>
      <top/>
      <bottom style="medium">
        <color indexed="1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12"/>
      </bottom>
      <diagonal/>
    </border>
  </borders>
  <cellStyleXfs count="8">
    <xf numFmtId="0" fontId="0" fillId="0" borderId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7" fontId="4" fillId="0" borderId="0" xfId="1" applyNumberFormat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2" fontId="4" fillId="0" borderId="0" xfId="1" applyNumberFormat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2" fontId="4" fillId="2" borderId="3" xfId="1" applyNumberFormat="1" applyFont="1" applyFill="1" applyBorder="1" applyAlignment="1">
      <alignment horizontal="center" vertical="center"/>
    </xf>
    <xf numFmtId="39" fontId="7" fillId="2" borderId="17" xfId="2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 vertical="center"/>
    </xf>
    <xf numFmtId="7" fontId="7" fillId="2" borderId="8" xfId="2" applyNumberFormat="1" applyFont="1" applyFill="1" applyBorder="1" applyAlignment="1">
      <alignment horizontal="center" vertical="center"/>
    </xf>
    <xf numFmtId="0" fontId="4" fillId="0" borderId="0" xfId="1" quotePrefix="1" applyFont="1" applyFill="1" applyBorder="1" applyAlignment="1">
      <alignment horizontal="center" vertical="center"/>
    </xf>
    <xf numFmtId="7" fontId="7" fillId="2" borderId="7" xfId="2" applyNumberFormat="1" applyFont="1" applyFill="1" applyBorder="1" applyAlignment="1">
      <alignment horizontal="center" vertical="center"/>
    </xf>
    <xf numFmtId="0" fontId="7" fillId="5" borderId="26" xfId="1" applyFont="1" applyFill="1" applyBorder="1" applyAlignment="1">
      <alignment horizontal="center" vertical="center"/>
    </xf>
    <xf numFmtId="0" fontId="7" fillId="5" borderId="27" xfId="1" applyFont="1" applyFill="1" applyBorder="1" applyAlignment="1">
      <alignment horizontal="center" vertical="center"/>
    </xf>
    <xf numFmtId="0" fontId="4" fillId="5" borderId="28" xfId="1" applyFont="1" applyFill="1" applyBorder="1" applyAlignment="1">
      <alignment horizontal="center" vertical="center"/>
    </xf>
    <xf numFmtId="7" fontId="4" fillId="5" borderId="29" xfId="1" applyNumberFormat="1" applyFont="1" applyFill="1" applyBorder="1" applyAlignment="1">
      <alignment horizontal="center" vertical="center"/>
    </xf>
    <xf numFmtId="0" fontId="7" fillId="3" borderId="30" xfId="1" applyFont="1" applyFill="1" applyBorder="1" applyAlignment="1">
      <alignment horizontal="center" vertical="center"/>
    </xf>
    <xf numFmtId="0" fontId="4" fillId="3" borderId="31" xfId="1" applyFont="1" applyFill="1" applyBorder="1" applyAlignment="1">
      <alignment horizontal="center" vertical="center"/>
    </xf>
    <xf numFmtId="7" fontId="4" fillId="7" borderId="18" xfId="2" applyNumberFormat="1" applyFont="1" applyFill="1" applyBorder="1" applyAlignment="1">
      <alignment horizontal="center" vertical="center"/>
    </xf>
    <xf numFmtId="7" fontId="4" fillId="7" borderId="19" xfId="2" applyNumberFormat="1" applyFont="1" applyFill="1" applyBorder="1" applyAlignment="1">
      <alignment horizontal="center" vertical="center"/>
    </xf>
    <xf numFmtId="0" fontId="4" fillId="7" borderId="19" xfId="1" applyFont="1" applyFill="1" applyBorder="1" applyAlignment="1">
      <alignment horizontal="center" vertical="center"/>
    </xf>
    <xf numFmtId="7" fontId="4" fillId="7" borderId="21" xfId="2" applyNumberFormat="1" applyFont="1" applyFill="1" applyBorder="1" applyAlignment="1">
      <alignment horizontal="center" vertical="center"/>
    </xf>
    <xf numFmtId="7" fontId="4" fillId="7" borderId="0" xfId="2" applyNumberFormat="1" applyFont="1" applyFill="1" applyBorder="1" applyAlignment="1">
      <alignment horizontal="center" vertical="center"/>
    </xf>
    <xf numFmtId="0" fontId="4" fillId="7" borderId="0" xfId="1" applyFont="1" applyFill="1" applyBorder="1" applyAlignment="1">
      <alignment horizontal="center" vertical="center"/>
    </xf>
    <xf numFmtId="0" fontId="4" fillId="7" borderId="22" xfId="1" applyFont="1" applyFill="1" applyBorder="1" applyAlignment="1">
      <alignment horizontal="center" vertical="center"/>
    </xf>
    <xf numFmtId="0" fontId="4" fillId="7" borderId="21" xfId="1" applyFont="1" applyFill="1" applyBorder="1" applyAlignment="1">
      <alignment horizontal="center" vertical="center"/>
    </xf>
    <xf numFmtId="7" fontId="4" fillId="7" borderId="0" xfId="1" applyNumberFormat="1" applyFont="1" applyFill="1" applyBorder="1" applyAlignment="1">
      <alignment horizontal="center" vertical="center"/>
    </xf>
    <xf numFmtId="0" fontId="4" fillId="5" borderId="32" xfId="1" applyFont="1" applyFill="1" applyBorder="1" applyAlignment="1">
      <alignment horizontal="center" vertical="center"/>
    </xf>
    <xf numFmtId="0" fontId="4" fillId="7" borderId="23" xfId="1" applyFont="1" applyFill="1" applyBorder="1" applyAlignment="1">
      <alignment horizontal="center" vertical="center"/>
    </xf>
    <xf numFmtId="7" fontId="4" fillId="7" borderId="24" xfId="1" applyNumberFormat="1" applyFont="1" applyFill="1" applyBorder="1" applyAlignment="1">
      <alignment horizontal="center" vertical="center"/>
    </xf>
    <xf numFmtId="0" fontId="4" fillId="7" borderId="24" xfId="1" applyFont="1" applyFill="1" applyBorder="1" applyAlignment="1">
      <alignment horizontal="center" vertical="center"/>
    </xf>
    <xf numFmtId="0" fontId="4" fillId="7" borderId="25" xfId="1" applyFont="1" applyFill="1" applyBorder="1" applyAlignment="1">
      <alignment horizontal="center" vertical="center"/>
    </xf>
    <xf numFmtId="2" fontId="7" fillId="0" borderId="0" xfId="1" applyNumberFormat="1" applyFont="1" applyFill="1" applyBorder="1" applyAlignment="1">
      <alignment horizontal="center" vertical="center"/>
    </xf>
    <xf numFmtId="7" fontId="4" fillId="4" borderId="19" xfId="2" applyNumberFormat="1" applyFont="1" applyFill="1" applyBorder="1" applyAlignment="1">
      <alignment horizontal="center" vertical="center"/>
    </xf>
    <xf numFmtId="7" fontId="4" fillId="4" borderId="20" xfId="2" applyNumberFormat="1" applyFont="1" applyFill="1" applyBorder="1" applyAlignment="1">
      <alignment horizontal="center" vertical="center"/>
    </xf>
    <xf numFmtId="7" fontId="4" fillId="4" borderId="18" xfId="2" applyNumberFormat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3" fillId="0" borderId="0" xfId="0" applyFont="1"/>
    <xf numFmtId="7" fontId="0" fillId="0" borderId="0" xfId="0" applyNumberFormat="1"/>
    <xf numFmtId="0" fontId="13" fillId="0" borderId="0" xfId="0" applyFont="1"/>
    <xf numFmtId="0" fontId="8" fillId="0" borderId="33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 wrapText="1"/>
    </xf>
    <xf numFmtId="0" fontId="5" fillId="5" borderId="11" xfId="0" applyFont="1" applyFill="1" applyBorder="1" applyAlignment="1">
      <alignment horizontal="left" vertical="center" wrapText="1"/>
    </xf>
    <xf numFmtId="0" fontId="5" fillId="5" borderId="12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13" xfId="0" applyFont="1" applyFill="1" applyBorder="1" applyAlignment="1">
      <alignment horizontal="left" vertical="center" wrapText="1"/>
    </xf>
    <xf numFmtId="0" fontId="5" fillId="5" borderId="14" xfId="0" applyFont="1" applyFill="1" applyBorder="1" applyAlignment="1">
      <alignment horizontal="left" vertical="center" wrapText="1"/>
    </xf>
    <xf numFmtId="0" fontId="5" fillId="5" borderId="15" xfId="0" applyFont="1" applyFill="1" applyBorder="1" applyAlignment="1">
      <alignment horizontal="left" vertical="center" wrapText="1"/>
    </xf>
    <xf numFmtId="0" fontId="5" fillId="5" borderId="16" xfId="0" applyFont="1" applyFill="1" applyBorder="1" applyAlignment="1">
      <alignment horizontal="left" vertical="center" wrapText="1"/>
    </xf>
    <xf numFmtId="0" fontId="8" fillId="0" borderId="0" xfId="1" applyFont="1" applyFill="1" applyBorder="1" applyAlignment="1">
      <alignment horizontal="center" vertical="center"/>
    </xf>
    <xf numFmtId="0" fontId="6" fillId="6" borderId="18" xfId="1" applyFont="1" applyFill="1" applyBorder="1" applyAlignment="1">
      <alignment horizontal="center" vertical="center" wrapText="1"/>
    </xf>
    <xf numFmtId="0" fontId="6" fillId="6" borderId="20" xfId="1" applyFont="1" applyFill="1" applyBorder="1" applyAlignment="1">
      <alignment horizontal="center" vertical="center" wrapText="1"/>
    </xf>
    <xf numFmtId="0" fontId="6" fillId="6" borderId="23" xfId="1" applyFont="1" applyFill="1" applyBorder="1" applyAlignment="1">
      <alignment horizontal="center" vertical="center" wrapText="1"/>
    </xf>
    <xf numFmtId="0" fontId="6" fillId="6" borderId="25" xfId="1" applyFont="1" applyFill="1" applyBorder="1" applyAlignment="1">
      <alignment horizontal="center" vertical="center" wrapText="1"/>
    </xf>
    <xf numFmtId="0" fontId="4" fillId="7" borderId="19" xfId="1" applyFont="1" applyFill="1" applyBorder="1" applyAlignment="1">
      <alignment horizontal="center" vertical="center"/>
    </xf>
    <xf numFmtId="0" fontId="2" fillId="0" borderId="19" xfId="1" applyBorder="1"/>
    <xf numFmtId="0" fontId="2" fillId="0" borderId="20" xfId="1" applyBorder="1"/>
  </cellXfs>
  <cellStyles count="8">
    <cellStyle name="Comma 2" xfId="3"/>
    <cellStyle name="Currency 2" xfId="2"/>
    <cellStyle name="Currency 3" xfId="5"/>
    <cellStyle name="Currency 4" xfId="7"/>
    <cellStyle name="Normal" xfId="0" builtinId="0"/>
    <cellStyle name="Normal 2" xfId="1"/>
    <cellStyle name="Normal 3" xfId="4"/>
    <cellStyle name="Normal 4" xfId="6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show frequency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'simulate normal'!$F$3:$F$13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</c:numCache>
            </c:numRef>
          </c:cat>
          <c:val>
            <c:numRef>
              <c:f>'simulate normal'!$G$3:$G$13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7</c:v>
                </c:pt>
                <c:pt idx="6">
                  <c:v>14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E-41A6-8888-AA44C6E87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321680"/>
        <c:axId val="1712316784"/>
      </c:barChart>
      <c:catAx>
        <c:axId val="171232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16784"/>
        <c:crosses val="autoZero"/>
        <c:auto val="1"/>
        <c:lblAlgn val="ctr"/>
        <c:lblOffset val="100"/>
        <c:noMultiLvlLbl val="0"/>
      </c:catAx>
      <c:valAx>
        <c:axId val="17123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2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show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'simulate normal long'!$E$3:$E$13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</c:numCache>
            </c:numRef>
          </c:cat>
          <c:val>
            <c:numRef>
              <c:f>'simulate normal long'!$F$3:$F$13</c:f>
              <c:numCache>
                <c:formatCode>General</c:formatCode>
                <c:ptCount val="11"/>
                <c:pt idx="0">
                  <c:v>6</c:v>
                </c:pt>
                <c:pt idx="1">
                  <c:v>15</c:v>
                </c:pt>
                <c:pt idx="2">
                  <c:v>28</c:v>
                </c:pt>
                <c:pt idx="3">
                  <c:v>62</c:v>
                </c:pt>
                <c:pt idx="4">
                  <c:v>97</c:v>
                </c:pt>
                <c:pt idx="5">
                  <c:v>97</c:v>
                </c:pt>
                <c:pt idx="6">
                  <c:v>97</c:v>
                </c:pt>
                <c:pt idx="7">
                  <c:v>52</c:v>
                </c:pt>
                <c:pt idx="8">
                  <c:v>25</c:v>
                </c:pt>
                <c:pt idx="9">
                  <c:v>17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0-4216-B1A3-F8FF65596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312976"/>
        <c:axId val="1712322224"/>
      </c:barChart>
      <c:catAx>
        <c:axId val="171231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22224"/>
        <c:crosses val="autoZero"/>
        <c:auto val="1"/>
        <c:lblAlgn val="ctr"/>
        <c:lblOffset val="100"/>
        <c:noMultiLvlLbl val="0"/>
      </c:catAx>
      <c:valAx>
        <c:axId val="171232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31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6410256410264"/>
          <c:y val="2.7823240589198099E-2"/>
          <c:w val="0.88963210702341133"/>
          <c:h val="0.896890343698855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'integrated example'!$J$21:$J$29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'integrated example'!$K$21:$K$29</c:f>
              <c:numCache>
                <c:formatCode>"$"#,##0.00_);\("$"#,##0.00\)</c:formatCode>
                <c:ptCount val="9"/>
                <c:pt idx="0">
                  <c:v>14399.5</c:v>
                </c:pt>
                <c:pt idx="1">
                  <c:v>14516.5</c:v>
                </c:pt>
                <c:pt idx="2">
                  <c:v>14682.75</c:v>
                </c:pt>
                <c:pt idx="3">
                  <c:v>14777</c:v>
                </c:pt>
                <c:pt idx="4">
                  <c:v>14878.5</c:v>
                </c:pt>
                <c:pt idx="5">
                  <c:v>14917.75</c:v>
                </c:pt>
                <c:pt idx="6">
                  <c:v>14916</c:v>
                </c:pt>
                <c:pt idx="7">
                  <c:v>14910.5</c:v>
                </c:pt>
                <c:pt idx="8">
                  <c:v>14892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7-47E3-92FD-F36144455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2325488"/>
        <c:axId val="1712315152"/>
      </c:barChart>
      <c:catAx>
        <c:axId val="171232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Overbooking Quantity</a:t>
                </a:r>
              </a:p>
            </c:rich>
          </c:tx>
          <c:layout>
            <c:manualLayout>
              <c:xMode val="edge"/>
              <c:yMode val="edge"/>
              <c:x val="0.50055741360089223"/>
              <c:y val="0.962902345881068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23151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123151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Average Profit</a:t>
                </a:r>
              </a:p>
            </c:rich>
          </c:tx>
          <c:layout>
            <c:manualLayout>
              <c:xMode val="edge"/>
              <c:yMode val="edge"/>
              <c:x val="8.1936359157215345E-3"/>
              <c:y val="0.40698628249673613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.00_);\(&quot;$&quot;#,##0.00\)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123254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/>
  </sheetViews>
  <pageMargins left="0.75" right="0.75" top="1" bottom="1" header="0.5" footer="0.5"/>
  <pageSetup orientation="landscape" r:id="rId1"/>
  <headerFooter alignWithMargins="0">
    <oddHeader>&amp;A</oddHeader>
    <oddFooter>Page 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349250</xdr:colOff>
      <xdr:row>8</xdr:row>
      <xdr:rowOff>84137</xdr:rowOff>
    </xdr:from>
    <xdr:to>
      <xdr:col>15</xdr:col>
      <xdr:colOff>596900</xdr:colOff>
      <xdr:row>22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15</xdr:row>
      <xdr:rowOff>109537</xdr:rowOff>
    </xdr:from>
    <xdr:to>
      <xdr:col>11</xdr:col>
      <xdr:colOff>19050</xdr:colOff>
      <xdr:row>29</xdr:row>
      <xdr:rowOff>185737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12</xdr:row>
      <xdr:rowOff>0</xdr:rowOff>
    </xdr:from>
    <xdr:to>
      <xdr:col>9</xdr:col>
      <xdr:colOff>9525</xdr:colOff>
      <xdr:row>14</xdr:row>
      <xdr:rowOff>180975</xdr:rowOff>
    </xdr:to>
    <xdr:sp macro="" textlink="">
      <xdr:nvSpPr>
        <xdr:cNvPr id="3" name="TextBox 2"/>
        <xdr:cNvSpPr txBox="1"/>
      </xdr:nvSpPr>
      <xdr:spPr>
        <a:xfrm>
          <a:off x="57150" y="381000"/>
          <a:ext cx="791527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 b="1">
              <a:latin typeface="Garamond" pitchFamily="18" charset="0"/>
            </a:rPr>
            <a:t>General Idea : We set-up an overbook quantity, then run 50</a:t>
          </a:r>
          <a:r>
            <a:rPr lang="en-US" sz="1200" b="1" baseline="0">
              <a:latin typeface="Garamond" pitchFamily="18" charset="0"/>
            </a:rPr>
            <a:t> replications and take the average of the profits. Once we have this average profit, we use a "simple" data table to generate an average profit for different value of the overbook quantity.</a:t>
          </a:r>
          <a:endParaRPr lang="en-US" sz="1200" b="1">
            <a:latin typeface="Garamond" pitchFamily="18" charset="0"/>
          </a:endParaRPr>
        </a:p>
      </xdr:txBody>
    </xdr:sp>
    <xdr:clientData/>
  </xdr:twoCellAnchor>
  <xdr:twoCellAnchor>
    <xdr:from>
      <xdr:col>8</xdr:col>
      <xdr:colOff>537883</xdr:colOff>
      <xdr:row>34</xdr:row>
      <xdr:rowOff>140634</xdr:rowOff>
    </xdr:from>
    <xdr:to>
      <xdr:col>11</xdr:col>
      <xdr:colOff>22412</xdr:colOff>
      <xdr:row>37</xdr:row>
      <xdr:rowOff>100853</xdr:rowOff>
    </xdr:to>
    <xdr:sp macro="" textlink="">
      <xdr:nvSpPr>
        <xdr:cNvPr id="9" name="TextBox 8"/>
        <xdr:cNvSpPr txBox="1"/>
      </xdr:nvSpPr>
      <xdr:spPr>
        <a:xfrm>
          <a:off x="7810501" y="4813487"/>
          <a:ext cx="2207558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 b="1">
              <a:latin typeface="Garamond" pitchFamily="18" charset="0"/>
            </a:rPr>
            <a:t>Determine the formulas for revenue, penalties, and profit.</a:t>
          </a:r>
        </a:p>
        <a:p>
          <a:pPr algn="ctr"/>
          <a:endParaRPr lang="en-US" sz="1100" b="1">
            <a:latin typeface="Garamond" pitchFamily="18" charset="0"/>
          </a:endParaRPr>
        </a:p>
      </xdr:txBody>
    </xdr:sp>
    <xdr:clientData/>
  </xdr:twoCellAnchor>
  <xdr:twoCellAnchor>
    <xdr:from>
      <xdr:col>6</xdr:col>
      <xdr:colOff>683558</xdr:colOff>
      <xdr:row>36</xdr:row>
      <xdr:rowOff>89647</xdr:rowOff>
    </xdr:from>
    <xdr:to>
      <xdr:col>8</xdr:col>
      <xdr:colOff>537880</xdr:colOff>
      <xdr:row>36</xdr:row>
      <xdr:rowOff>112059</xdr:rowOff>
    </xdr:to>
    <xdr:sp macro="" textlink="">
      <xdr:nvSpPr>
        <xdr:cNvPr id="10" name="Line 3"/>
        <xdr:cNvSpPr>
          <a:spLocks noChangeShapeType="1"/>
        </xdr:cNvSpPr>
      </xdr:nvSpPr>
      <xdr:spPr bwMode="auto">
        <a:xfrm flipH="1" flipV="1">
          <a:off x="6656293" y="5154706"/>
          <a:ext cx="1154205" cy="2241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549091</xdr:colOff>
      <xdr:row>18</xdr:row>
      <xdr:rowOff>1</xdr:rowOff>
    </xdr:from>
    <xdr:to>
      <xdr:col>16</xdr:col>
      <xdr:colOff>336179</xdr:colOff>
      <xdr:row>21</xdr:row>
      <xdr:rowOff>1</xdr:rowOff>
    </xdr:to>
    <xdr:sp macro="" textlink="">
      <xdr:nvSpPr>
        <xdr:cNvPr id="11" name="TextBox 10"/>
        <xdr:cNvSpPr txBox="1"/>
      </xdr:nvSpPr>
      <xdr:spPr>
        <a:xfrm>
          <a:off x="11149856" y="1546413"/>
          <a:ext cx="2207558" cy="5939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 b="1">
              <a:latin typeface="Garamond" pitchFamily="18" charset="0"/>
            </a:rPr>
            <a:t>Use a data table to determine average profit for each overbooking number.</a:t>
          </a:r>
        </a:p>
        <a:p>
          <a:pPr algn="ctr"/>
          <a:endParaRPr lang="en-US" sz="1100" b="1">
            <a:latin typeface="Garamond" pitchFamily="18" charset="0"/>
          </a:endParaRPr>
        </a:p>
        <a:p>
          <a:pPr algn="ctr"/>
          <a:endParaRPr lang="en-US" sz="1100" b="1">
            <a:latin typeface="Garamond" pitchFamily="18" charset="0"/>
          </a:endParaRPr>
        </a:p>
      </xdr:txBody>
    </xdr:sp>
    <xdr:clientData/>
  </xdr:twoCellAnchor>
  <xdr:twoCellAnchor>
    <xdr:from>
      <xdr:col>11</xdr:col>
      <xdr:colOff>22410</xdr:colOff>
      <xdr:row>19</xdr:row>
      <xdr:rowOff>100853</xdr:rowOff>
    </xdr:from>
    <xdr:to>
      <xdr:col>12</xdr:col>
      <xdr:colOff>582705</xdr:colOff>
      <xdr:row>19</xdr:row>
      <xdr:rowOff>105895</xdr:rowOff>
    </xdr:to>
    <xdr:sp macro="" textlink="">
      <xdr:nvSpPr>
        <xdr:cNvPr id="12" name="Line 3"/>
        <xdr:cNvSpPr>
          <a:spLocks noChangeShapeType="1"/>
        </xdr:cNvSpPr>
      </xdr:nvSpPr>
      <xdr:spPr bwMode="auto">
        <a:xfrm flipH="1">
          <a:off x="10018057" y="1848971"/>
          <a:ext cx="1165413" cy="504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22412</xdr:colOff>
      <xdr:row>15</xdr:row>
      <xdr:rowOff>84044</xdr:rowOff>
    </xdr:from>
    <xdr:to>
      <xdr:col>13</xdr:col>
      <xdr:colOff>56033</xdr:colOff>
      <xdr:row>23</xdr:row>
      <xdr:rowOff>100853</xdr:rowOff>
    </xdr:to>
    <xdr:cxnSp macro="">
      <xdr:nvCxnSpPr>
        <xdr:cNvPr id="6" name="Elbow Connector 5"/>
        <xdr:cNvCxnSpPr/>
      </xdr:nvCxnSpPr>
      <xdr:spPr>
        <a:xfrm rot="10800000" flipV="1">
          <a:off x="2151530" y="1036544"/>
          <a:ext cx="9110385" cy="1596838"/>
        </a:xfrm>
        <a:prstGeom prst="bentConnector3">
          <a:avLst>
            <a:gd name="adj1" fmla="val 94895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56030</xdr:colOff>
      <xdr:row>13</xdr:row>
      <xdr:rowOff>156882</xdr:rowOff>
    </xdr:from>
    <xdr:to>
      <xdr:col>16</xdr:col>
      <xdr:colOff>448235</xdr:colOff>
      <xdr:row>16</xdr:row>
      <xdr:rowOff>168088</xdr:rowOff>
    </xdr:to>
    <xdr:sp macro="" textlink="">
      <xdr:nvSpPr>
        <xdr:cNvPr id="15" name="TextBox 14"/>
        <xdr:cNvSpPr txBox="1"/>
      </xdr:nvSpPr>
      <xdr:spPr>
        <a:xfrm>
          <a:off x="11261912" y="728382"/>
          <a:ext cx="2207558" cy="5939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100" b="1">
              <a:latin typeface="Garamond" pitchFamily="18" charset="0"/>
            </a:rPr>
            <a:t>Make sure data table refers to cell</a:t>
          </a:r>
          <a:r>
            <a:rPr lang="en-US" sz="1100" b="1" baseline="0">
              <a:latin typeface="Garamond" pitchFamily="18" charset="0"/>
            </a:rPr>
            <a:t> B24</a:t>
          </a:r>
        </a:p>
        <a:p>
          <a:pPr algn="ctr"/>
          <a:endParaRPr lang="en-US" sz="1100" b="1">
            <a:latin typeface="Garamond" pitchFamily="18" charset="0"/>
          </a:endParaRPr>
        </a:p>
        <a:p>
          <a:pPr algn="ctr"/>
          <a:endParaRPr lang="en-US" sz="1100" b="1">
            <a:latin typeface="Garamond" pitchFamily="18" charset="0"/>
          </a:endParaRPr>
        </a:p>
        <a:p>
          <a:pPr algn="ctr"/>
          <a:endParaRPr lang="en-US" sz="1100" b="1">
            <a:latin typeface="Garamond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83839" cy="583973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zoomScale="110" zoomScaleNormal="110" workbookViewId="0">
      <selection activeCell="H22" sqref="H22"/>
    </sheetView>
  </sheetViews>
  <sheetFormatPr defaultRowHeight="12.5" x14ac:dyDescent="0.25"/>
  <cols>
    <col min="1" max="1" width="12.7265625" customWidth="1"/>
    <col min="2" max="3" width="18.453125" customWidth="1"/>
    <col min="4" max="4" width="10.26953125" customWidth="1"/>
    <col min="10" max="10" width="18.26953125" customWidth="1"/>
  </cols>
  <sheetData>
    <row r="1" spans="1:10" ht="15" thickBot="1" x14ac:dyDescent="0.3">
      <c r="A1" s="43" t="s">
        <v>7</v>
      </c>
      <c r="B1" s="2"/>
      <c r="C1" s="2" t="s">
        <v>43</v>
      </c>
      <c r="D1" s="2"/>
      <c r="I1" s="47" t="s">
        <v>36</v>
      </c>
      <c r="J1" s="47"/>
    </row>
    <row r="2" spans="1:10" ht="14.5" x14ac:dyDescent="0.25">
      <c r="A2" s="1" t="s">
        <v>8</v>
      </c>
      <c r="B2" s="17" t="s">
        <v>9</v>
      </c>
      <c r="C2" s="17" t="s">
        <v>42</v>
      </c>
      <c r="D2" s="9" t="s">
        <v>17</v>
      </c>
      <c r="F2" s="44" t="s">
        <v>37</v>
      </c>
      <c r="G2" s="44" t="s">
        <v>38</v>
      </c>
      <c r="I2" s="15" t="s">
        <v>34</v>
      </c>
      <c r="J2" s="14" t="s">
        <v>35</v>
      </c>
    </row>
    <row r="3" spans="1:10" ht="14.5" x14ac:dyDescent="0.25">
      <c r="A3" s="1">
        <v>1</v>
      </c>
      <c r="B3" s="3">
        <f ca="1">RAND()</f>
        <v>0.84734274185777614</v>
      </c>
      <c r="C3" s="3">
        <f ca="1">_xlfn.NORM.INV(B3,$I$3,$J$3)</f>
        <v>10.050206313140958</v>
      </c>
      <c r="D3" s="2">
        <f ca="1">ROUND(_xlfn.NORM.INV(B3,$I$3,$J$3),0)</f>
        <v>10</v>
      </c>
      <c r="F3">
        <v>3</v>
      </c>
      <c r="G3">
        <f ca="1">COUNTIF($D$3:$D$52,F3)</f>
        <v>0</v>
      </c>
      <c r="I3" s="12">
        <v>8</v>
      </c>
      <c r="J3" s="10">
        <v>2</v>
      </c>
    </row>
    <row r="4" spans="1:10" ht="14.5" x14ac:dyDescent="0.25">
      <c r="A4" s="1">
        <v>2</v>
      </c>
      <c r="B4" s="3">
        <f t="shared" ref="B4:B52" ca="1" si="0">RAND()</f>
        <v>0.76198609583179866</v>
      </c>
      <c r="C4" s="3">
        <f t="shared" ref="C4:C52" ca="1" si="1">_xlfn.NORM.INV(B4,$I$3,$J$3)</f>
        <v>9.4254116593359552</v>
      </c>
      <c r="D4" s="2">
        <f t="shared" ref="D4:D52" ca="1" si="2">ROUND(_xlfn.NORM.INV(B4,$I$3,$J$3),0)</f>
        <v>9</v>
      </c>
      <c r="F4">
        <v>4</v>
      </c>
      <c r="G4">
        <f t="shared" ref="G4:G13" ca="1" si="3">COUNTIF($D$3:$D$52,F4)</f>
        <v>1</v>
      </c>
      <c r="I4" s="12"/>
      <c r="J4" s="10"/>
    </row>
    <row r="5" spans="1:10" ht="14.5" x14ac:dyDescent="0.25">
      <c r="A5" s="1">
        <v>3</v>
      </c>
      <c r="B5" s="3">
        <f t="shared" ca="1" si="0"/>
        <v>0.79798212699513249</v>
      </c>
      <c r="C5" s="3">
        <f t="shared" ca="1" si="1"/>
        <v>9.6688705511992552</v>
      </c>
      <c r="D5" s="2">
        <f t="shared" ca="1" si="2"/>
        <v>10</v>
      </c>
      <c r="F5">
        <v>5</v>
      </c>
      <c r="G5">
        <f t="shared" ca="1" si="3"/>
        <v>5</v>
      </c>
      <c r="I5" s="11"/>
      <c r="J5" s="10"/>
    </row>
    <row r="6" spans="1:10" ht="15" thickBot="1" x14ac:dyDescent="0.3">
      <c r="A6" s="1">
        <v>4</v>
      </c>
      <c r="B6" s="3">
        <f t="shared" ca="1" si="0"/>
        <v>0.17360111145350776</v>
      </c>
      <c r="C6" s="3">
        <f t="shared" ca="1" si="1"/>
        <v>6.1199401960916262</v>
      </c>
      <c r="D6" s="2">
        <f t="shared" ca="1" si="2"/>
        <v>6</v>
      </c>
      <c r="F6">
        <v>6</v>
      </c>
      <c r="G6">
        <f t="shared" ca="1" si="3"/>
        <v>6</v>
      </c>
      <c r="I6" s="7"/>
      <c r="J6" s="6"/>
    </row>
    <row r="7" spans="1:10" ht="14.5" x14ac:dyDescent="0.25">
      <c r="A7" s="1">
        <v>5</v>
      </c>
      <c r="B7" s="3">
        <f t="shared" ca="1" si="0"/>
        <v>0.24588034406946835</v>
      </c>
      <c r="C7" s="3">
        <f t="shared" ca="1" si="1"/>
        <v>6.6249777357535393</v>
      </c>
      <c r="D7" s="2">
        <f t="shared" ca="1" si="2"/>
        <v>7</v>
      </c>
      <c r="F7">
        <v>7</v>
      </c>
      <c r="G7">
        <f t="shared" ca="1" si="3"/>
        <v>8</v>
      </c>
    </row>
    <row r="8" spans="1:10" ht="14.5" x14ac:dyDescent="0.25">
      <c r="A8" s="1">
        <v>6</v>
      </c>
      <c r="B8" s="3">
        <f t="shared" ca="1" si="0"/>
        <v>0.60432477898743053</v>
      </c>
      <c r="C8" s="3">
        <f t="shared" ca="1" si="1"/>
        <v>8.5291147971199557</v>
      </c>
      <c r="D8" s="2">
        <f t="shared" ca="1" si="2"/>
        <v>9</v>
      </c>
      <c r="F8">
        <v>8</v>
      </c>
      <c r="G8">
        <f t="shared" ca="1" si="3"/>
        <v>7</v>
      </c>
    </row>
    <row r="9" spans="1:10" ht="14.5" x14ac:dyDescent="0.25">
      <c r="A9" s="1">
        <v>7</v>
      </c>
      <c r="B9" s="3">
        <f t="shared" ca="1" si="0"/>
        <v>0.61296367256211504</v>
      </c>
      <c r="C9" s="3">
        <f t="shared" ca="1" si="1"/>
        <v>8.5741036073926331</v>
      </c>
      <c r="D9" s="2">
        <f t="shared" ca="1" si="2"/>
        <v>9</v>
      </c>
      <c r="F9">
        <v>9</v>
      </c>
      <c r="G9">
        <f t="shared" ca="1" si="3"/>
        <v>14</v>
      </c>
    </row>
    <row r="10" spans="1:10" ht="14.5" x14ac:dyDescent="0.25">
      <c r="A10" s="1">
        <v>8</v>
      </c>
      <c r="B10" s="3">
        <f t="shared" ca="1" si="0"/>
        <v>0.98347929121043776</v>
      </c>
      <c r="C10" s="3">
        <f t="shared" ca="1" si="1"/>
        <v>12.263159313990535</v>
      </c>
      <c r="D10" s="2">
        <f t="shared" ca="1" si="2"/>
        <v>12</v>
      </c>
      <c r="F10">
        <v>10</v>
      </c>
      <c r="G10">
        <f t="shared" ca="1" si="3"/>
        <v>4</v>
      </c>
    </row>
    <row r="11" spans="1:10" ht="14.5" x14ac:dyDescent="0.25">
      <c r="A11" s="1">
        <v>9</v>
      </c>
      <c r="B11" s="3">
        <f t="shared" ca="1" si="0"/>
        <v>0.44704889356518418</v>
      </c>
      <c r="C11" s="3">
        <f t="shared" ca="1" si="1"/>
        <v>7.7337582523207367</v>
      </c>
      <c r="D11" s="2">
        <f t="shared" ca="1" si="2"/>
        <v>8</v>
      </c>
      <c r="F11">
        <v>11</v>
      </c>
      <c r="G11">
        <f t="shared" ca="1" si="3"/>
        <v>4</v>
      </c>
    </row>
    <row r="12" spans="1:10" ht="14.5" x14ac:dyDescent="0.25">
      <c r="A12" s="1">
        <v>10</v>
      </c>
      <c r="B12" s="3">
        <f t="shared" ca="1" si="0"/>
        <v>0.29003440352726229</v>
      </c>
      <c r="C12" s="3">
        <f t="shared" ca="1" si="1"/>
        <v>6.8934315668018789</v>
      </c>
      <c r="D12" s="2">
        <f t="shared" ca="1" si="2"/>
        <v>7</v>
      </c>
      <c r="F12">
        <v>12</v>
      </c>
      <c r="G12">
        <f t="shared" ca="1" si="3"/>
        <v>1</v>
      </c>
    </row>
    <row r="13" spans="1:10" ht="14.5" x14ac:dyDescent="0.25">
      <c r="A13" s="1">
        <v>11</v>
      </c>
      <c r="B13" s="3">
        <f t="shared" ca="1" si="0"/>
        <v>0.54691593206927691</v>
      </c>
      <c r="C13" s="3">
        <f t="shared" ca="1" si="1"/>
        <v>8.2357463813820395</v>
      </c>
      <c r="D13" s="2">
        <f t="shared" ca="1" si="2"/>
        <v>8</v>
      </c>
      <c r="F13">
        <v>13</v>
      </c>
      <c r="G13">
        <f t="shared" ca="1" si="3"/>
        <v>0</v>
      </c>
    </row>
    <row r="14" spans="1:10" ht="14.5" x14ac:dyDescent="0.25">
      <c r="A14" s="1">
        <v>12</v>
      </c>
      <c r="B14" s="3">
        <f t="shared" ca="1" si="0"/>
        <v>0.92561565425010894</v>
      </c>
      <c r="C14" s="3">
        <f t="shared" ca="1" si="1"/>
        <v>10.887788733314515</v>
      </c>
      <c r="D14" s="2">
        <f t="shared" ca="1" si="2"/>
        <v>11</v>
      </c>
    </row>
    <row r="15" spans="1:10" ht="14.5" x14ac:dyDescent="0.25">
      <c r="A15" s="1">
        <v>13</v>
      </c>
      <c r="B15" s="3">
        <f t="shared" ca="1" si="0"/>
        <v>0.70858083665801075</v>
      </c>
      <c r="C15" s="3">
        <f t="shared" ca="1" si="1"/>
        <v>9.0984870841073242</v>
      </c>
      <c r="D15" s="2">
        <f t="shared" ca="1" si="2"/>
        <v>9</v>
      </c>
    </row>
    <row r="16" spans="1:10" ht="14.5" x14ac:dyDescent="0.25">
      <c r="A16" s="1">
        <v>14</v>
      </c>
      <c r="B16" s="3">
        <f t="shared" ca="1" si="0"/>
        <v>0.3480040465485098</v>
      </c>
      <c r="C16" s="3">
        <f t="shared" ca="1" si="1"/>
        <v>7.218570495106766</v>
      </c>
      <c r="D16" s="2">
        <f t="shared" ca="1" si="2"/>
        <v>7</v>
      </c>
    </row>
    <row r="17" spans="1:4" ht="14.5" x14ac:dyDescent="0.25">
      <c r="A17" s="1">
        <v>15</v>
      </c>
      <c r="B17" s="3">
        <f t="shared" ca="1" si="0"/>
        <v>0.5086357398214213</v>
      </c>
      <c r="C17" s="3">
        <f t="shared" ca="1" si="1"/>
        <v>8.043296560787832</v>
      </c>
      <c r="D17" s="2">
        <f t="shared" ca="1" si="2"/>
        <v>8</v>
      </c>
    </row>
    <row r="18" spans="1:4" ht="14.5" x14ac:dyDescent="0.25">
      <c r="A18" s="1">
        <v>16</v>
      </c>
      <c r="B18" s="3">
        <f t="shared" ca="1" si="0"/>
        <v>0.91513577331344997</v>
      </c>
      <c r="C18" s="3">
        <f t="shared" ca="1" si="1"/>
        <v>10.746153723418171</v>
      </c>
      <c r="D18" s="2">
        <f t="shared" ca="1" si="2"/>
        <v>11</v>
      </c>
    </row>
    <row r="19" spans="1:4" ht="14.5" x14ac:dyDescent="0.25">
      <c r="A19" s="1">
        <v>17</v>
      </c>
      <c r="B19" s="3">
        <f t="shared" ca="1" si="0"/>
        <v>0.24967248169007428</v>
      </c>
      <c r="C19" s="3">
        <f t="shared" ca="1" si="1"/>
        <v>6.6489584705668818</v>
      </c>
      <c r="D19" s="2">
        <f t="shared" ca="1" si="2"/>
        <v>7</v>
      </c>
    </row>
    <row r="20" spans="1:4" ht="14.5" x14ac:dyDescent="0.25">
      <c r="A20" s="1">
        <v>18</v>
      </c>
      <c r="B20" s="3">
        <f t="shared" ca="1" si="0"/>
        <v>0.624577383266678</v>
      </c>
      <c r="C20" s="3">
        <f t="shared" ca="1" si="1"/>
        <v>8.6350501039896859</v>
      </c>
      <c r="D20" s="2">
        <f t="shared" ca="1" si="2"/>
        <v>9</v>
      </c>
    </row>
    <row r="21" spans="1:4" ht="14.5" x14ac:dyDescent="0.25">
      <c r="A21" s="1">
        <v>19</v>
      </c>
      <c r="B21" s="3">
        <f t="shared" ca="1" si="0"/>
        <v>0.51581202725221131</v>
      </c>
      <c r="C21" s="3">
        <f t="shared" ca="1" si="1"/>
        <v>8.079290515047397</v>
      </c>
      <c r="D21" s="2">
        <f t="shared" ca="1" si="2"/>
        <v>8</v>
      </c>
    </row>
    <row r="22" spans="1:4" ht="14.5" x14ac:dyDescent="0.25">
      <c r="A22" s="1">
        <v>20</v>
      </c>
      <c r="B22" s="3">
        <f t="shared" ca="1" si="0"/>
        <v>8.4763112647328498E-2</v>
      </c>
      <c r="C22" s="3">
        <f t="shared" ca="1" si="1"/>
        <v>5.2525445437400684</v>
      </c>
      <c r="D22" s="2">
        <f t="shared" ca="1" si="2"/>
        <v>5</v>
      </c>
    </row>
    <row r="23" spans="1:4" ht="14.5" x14ac:dyDescent="0.25">
      <c r="A23" s="1">
        <v>21</v>
      </c>
      <c r="B23" s="3">
        <f t="shared" ca="1" si="0"/>
        <v>0.48518834934294064</v>
      </c>
      <c r="C23" s="3">
        <f t="shared" ca="1" si="1"/>
        <v>7.9257283278924184</v>
      </c>
      <c r="D23" s="2">
        <f t="shared" ca="1" si="2"/>
        <v>8</v>
      </c>
    </row>
    <row r="24" spans="1:4" ht="14.5" x14ac:dyDescent="0.25">
      <c r="A24" s="1">
        <v>22</v>
      </c>
      <c r="B24" s="3">
        <f t="shared" ca="1" si="0"/>
        <v>1.7670141976334985E-2</v>
      </c>
      <c r="C24" s="3">
        <f t="shared" ca="1" si="1"/>
        <v>3.7911246052367646</v>
      </c>
      <c r="D24" s="2">
        <f t="shared" ca="1" si="2"/>
        <v>4</v>
      </c>
    </row>
    <row r="25" spans="1:4" ht="14.5" x14ac:dyDescent="0.25">
      <c r="A25" s="1">
        <v>23</v>
      </c>
      <c r="B25" s="3">
        <f t="shared" ca="1" si="0"/>
        <v>0.91750679462141704</v>
      </c>
      <c r="C25" s="3">
        <f t="shared" ca="1" si="1"/>
        <v>10.776989707456799</v>
      </c>
      <c r="D25" s="2">
        <f t="shared" ca="1" si="2"/>
        <v>11</v>
      </c>
    </row>
    <row r="26" spans="1:4" ht="14.5" x14ac:dyDescent="0.25">
      <c r="A26" s="1">
        <v>24</v>
      </c>
      <c r="B26" s="3">
        <f t="shared" ca="1" si="0"/>
        <v>0.77471216486919736</v>
      </c>
      <c r="C26" s="3">
        <f t="shared" ca="1" si="1"/>
        <v>9.5089112872698287</v>
      </c>
      <c r="D26" s="2">
        <f t="shared" ca="1" si="2"/>
        <v>10</v>
      </c>
    </row>
    <row r="27" spans="1:4" ht="14.5" x14ac:dyDescent="0.25">
      <c r="A27" s="1">
        <v>25</v>
      </c>
      <c r="B27" s="3">
        <f t="shared" ca="1" si="0"/>
        <v>8.9696317776966628E-2</v>
      </c>
      <c r="C27" s="3">
        <f t="shared" ca="1" si="1"/>
        <v>5.3147450890279462</v>
      </c>
      <c r="D27" s="2">
        <f t="shared" ca="1" si="2"/>
        <v>5</v>
      </c>
    </row>
    <row r="28" spans="1:4" ht="14.5" x14ac:dyDescent="0.25">
      <c r="A28" s="1">
        <v>26</v>
      </c>
      <c r="B28" s="3">
        <f t="shared" ca="1" si="0"/>
        <v>0.10174083649098897</v>
      </c>
      <c r="C28" s="3">
        <f t="shared" ca="1" si="1"/>
        <v>5.4566109293759029</v>
      </c>
      <c r="D28" s="2">
        <f t="shared" ca="1" si="2"/>
        <v>5</v>
      </c>
    </row>
    <row r="29" spans="1:4" ht="14.5" x14ac:dyDescent="0.25">
      <c r="A29" s="1">
        <v>27</v>
      </c>
      <c r="B29" s="3">
        <f t="shared" ca="1" si="0"/>
        <v>0.39889483154109384</v>
      </c>
      <c r="C29" s="3">
        <f t="shared" ca="1" si="1"/>
        <v>7.4875825272682421</v>
      </c>
      <c r="D29" s="2">
        <f t="shared" ca="1" si="2"/>
        <v>7</v>
      </c>
    </row>
    <row r="30" spans="1:4" ht="14.5" x14ac:dyDescent="0.25">
      <c r="A30" s="1">
        <v>28</v>
      </c>
      <c r="B30" s="3">
        <f t="shared" ca="1" si="0"/>
        <v>0.65774656161747036</v>
      </c>
      <c r="C30" s="3">
        <f t="shared" ca="1" si="1"/>
        <v>8.8126416749179199</v>
      </c>
      <c r="D30" s="2">
        <f t="shared" ca="1" si="2"/>
        <v>9</v>
      </c>
    </row>
    <row r="31" spans="1:4" ht="14.5" x14ac:dyDescent="0.25">
      <c r="A31" s="1">
        <v>29</v>
      </c>
      <c r="B31" s="3">
        <f t="shared" ca="1" si="0"/>
        <v>8.6486271872747711E-2</v>
      </c>
      <c r="C31" s="3">
        <f t="shared" ca="1" si="1"/>
        <v>5.2745712381197976</v>
      </c>
      <c r="D31" s="2">
        <f t="shared" ca="1" si="2"/>
        <v>5</v>
      </c>
    </row>
    <row r="32" spans="1:4" ht="14.5" x14ac:dyDescent="0.25">
      <c r="A32" s="1">
        <v>30</v>
      </c>
      <c r="B32" s="3">
        <f t="shared" ca="1" si="0"/>
        <v>0.7605891506910516</v>
      </c>
      <c r="C32" s="3">
        <f t="shared" ca="1" si="1"/>
        <v>9.4163979628404419</v>
      </c>
      <c r="D32" s="2">
        <f t="shared" ca="1" si="2"/>
        <v>9</v>
      </c>
    </row>
    <row r="33" spans="1:4" ht="14.5" x14ac:dyDescent="0.25">
      <c r="A33" s="1">
        <v>31</v>
      </c>
      <c r="B33" s="3">
        <f t="shared" ca="1" si="0"/>
        <v>0.12494858079144966</v>
      </c>
      <c r="C33" s="3">
        <f t="shared" ca="1" si="1"/>
        <v>5.6988015966344392</v>
      </c>
      <c r="D33" s="2">
        <f t="shared" ca="1" si="2"/>
        <v>6</v>
      </c>
    </row>
    <row r="34" spans="1:4" ht="14.5" x14ac:dyDescent="0.25">
      <c r="A34" s="1">
        <v>32</v>
      </c>
      <c r="B34" s="3">
        <f t="shared" ca="1" si="0"/>
        <v>0.90838329145992303</v>
      </c>
      <c r="C34" s="3">
        <f t="shared" ca="1" si="1"/>
        <v>10.661730111968421</v>
      </c>
      <c r="D34" s="2">
        <f t="shared" ca="1" si="2"/>
        <v>11</v>
      </c>
    </row>
    <row r="35" spans="1:4" ht="14.5" x14ac:dyDescent="0.25">
      <c r="A35" s="1">
        <v>33</v>
      </c>
      <c r="B35" s="3">
        <f t="shared" ca="1" si="0"/>
        <v>0.35393913868205218</v>
      </c>
      <c r="C35" s="3">
        <f t="shared" ca="1" si="1"/>
        <v>7.2505857086710597</v>
      </c>
      <c r="D35" s="2">
        <f t="shared" ca="1" si="2"/>
        <v>7</v>
      </c>
    </row>
    <row r="36" spans="1:4" ht="14.5" x14ac:dyDescent="0.25">
      <c r="A36" s="1">
        <v>34</v>
      </c>
      <c r="B36" s="3">
        <f t="shared" ca="1" si="0"/>
        <v>0.65775563074154597</v>
      </c>
      <c r="C36" s="3">
        <f t="shared" ca="1" si="1"/>
        <v>8.8126910533991598</v>
      </c>
      <c r="D36" s="2">
        <f t="shared" ca="1" si="2"/>
        <v>9</v>
      </c>
    </row>
    <row r="37" spans="1:4" ht="14.5" x14ac:dyDescent="0.25">
      <c r="A37" s="1">
        <v>35</v>
      </c>
      <c r="B37" s="3">
        <f t="shared" ca="1" si="0"/>
        <v>0.76469451949871625</v>
      </c>
      <c r="C37" s="3">
        <f t="shared" ca="1" si="1"/>
        <v>9.4429706674922524</v>
      </c>
      <c r="D37" s="2">
        <f t="shared" ca="1" si="2"/>
        <v>9</v>
      </c>
    </row>
    <row r="38" spans="1:4" ht="14.5" x14ac:dyDescent="0.25">
      <c r="A38" s="1">
        <v>36</v>
      </c>
      <c r="B38" s="3">
        <f t="shared" ca="1" si="0"/>
        <v>0.63579444462229728</v>
      </c>
      <c r="C38" s="3">
        <f t="shared" ca="1" si="1"/>
        <v>8.6944797650428018</v>
      </c>
      <c r="D38" s="2">
        <f t="shared" ca="1" si="2"/>
        <v>9</v>
      </c>
    </row>
    <row r="39" spans="1:4" ht="14.5" x14ac:dyDescent="0.25">
      <c r="A39" s="1">
        <v>37</v>
      </c>
      <c r="B39" s="3">
        <f t="shared" ca="1" si="0"/>
        <v>5.8884515322218944E-2</v>
      </c>
      <c r="C39" s="3">
        <f t="shared" ca="1" si="1"/>
        <v>4.8715865690357862</v>
      </c>
      <c r="D39" s="2">
        <f t="shared" ca="1" si="2"/>
        <v>5</v>
      </c>
    </row>
    <row r="40" spans="1:4" ht="14.5" x14ac:dyDescent="0.25">
      <c r="A40" s="1">
        <v>38</v>
      </c>
      <c r="B40" s="3">
        <f t="shared" ca="1" si="0"/>
        <v>0.64815223811394318</v>
      </c>
      <c r="C40" s="3">
        <f t="shared" ca="1" si="1"/>
        <v>8.7606733254939595</v>
      </c>
      <c r="D40" s="2">
        <f t="shared" ca="1" si="2"/>
        <v>9</v>
      </c>
    </row>
    <row r="41" spans="1:4" ht="14.5" x14ac:dyDescent="0.25">
      <c r="A41" s="1">
        <v>39</v>
      </c>
      <c r="B41" s="3">
        <f t="shared" ca="1" si="0"/>
        <v>0.77222930327017258</v>
      </c>
      <c r="C41" s="3">
        <f t="shared" ca="1" si="1"/>
        <v>9.4924172675017964</v>
      </c>
      <c r="D41" s="2">
        <f t="shared" ca="1" si="2"/>
        <v>9</v>
      </c>
    </row>
    <row r="42" spans="1:4" ht="14.5" x14ac:dyDescent="0.25">
      <c r="A42" s="1">
        <v>40</v>
      </c>
      <c r="B42" s="3">
        <f t="shared" ca="1" si="0"/>
        <v>0.39157069216471085</v>
      </c>
      <c r="C42" s="3">
        <f t="shared" ca="1" si="1"/>
        <v>7.4495448015173018</v>
      </c>
      <c r="D42" s="2">
        <f t="shared" ca="1" si="2"/>
        <v>7</v>
      </c>
    </row>
    <row r="43" spans="1:4" ht="14.5" x14ac:dyDescent="0.25">
      <c r="A43" s="1">
        <v>41</v>
      </c>
      <c r="B43" s="3">
        <f t="shared" ca="1" si="0"/>
        <v>0.7138936153531239</v>
      </c>
      <c r="C43" s="3">
        <f t="shared" ca="1" si="1"/>
        <v>9.1295912907464363</v>
      </c>
      <c r="D43" s="2">
        <f t="shared" ca="1" si="2"/>
        <v>9</v>
      </c>
    </row>
    <row r="44" spans="1:4" ht="14.5" x14ac:dyDescent="0.25">
      <c r="A44" s="1">
        <v>42</v>
      </c>
      <c r="B44" s="3">
        <f t="shared" ca="1" si="0"/>
        <v>0.46712868296359922</v>
      </c>
      <c r="C44" s="3">
        <f t="shared" ca="1" si="1"/>
        <v>7.8350207441114241</v>
      </c>
      <c r="D44" s="2">
        <f t="shared" ca="1" si="2"/>
        <v>8</v>
      </c>
    </row>
    <row r="45" spans="1:4" ht="14.5" x14ac:dyDescent="0.25">
      <c r="A45" s="1">
        <v>43</v>
      </c>
      <c r="B45" s="3">
        <f t="shared" ca="1" si="0"/>
        <v>0.14519156917755238</v>
      </c>
      <c r="C45" s="3">
        <f t="shared" ca="1" si="1"/>
        <v>5.8854370198591095</v>
      </c>
      <c r="D45" s="2">
        <f t="shared" ca="1" si="2"/>
        <v>6</v>
      </c>
    </row>
    <row r="46" spans="1:4" ht="14.5" x14ac:dyDescent="0.25">
      <c r="A46" s="1">
        <v>44</v>
      </c>
      <c r="B46" s="3">
        <f t="shared" ca="1" si="0"/>
        <v>0.24996941589977173</v>
      </c>
      <c r="C46" s="3">
        <f t="shared" ca="1" si="1"/>
        <v>6.6508280052854705</v>
      </c>
      <c r="D46" s="2">
        <f t="shared" ca="1" si="2"/>
        <v>7</v>
      </c>
    </row>
    <row r="47" spans="1:4" ht="14.5" x14ac:dyDescent="0.25">
      <c r="A47" s="1">
        <v>45</v>
      </c>
      <c r="B47" s="3">
        <f t="shared" ca="1" si="0"/>
        <v>0.88607306541545527</v>
      </c>
      <c r="C47" s="3">
        <f t="shared" ca="1" si="1"/>
        <v>10.411811314019843</v>
      </c>
      <c r="D47" s="2">
        <f t="shared" ca="1" si="2"/>
        <v>10</v>
      </c>
    </row>
    <row r="48" spans="1:4" ht="14.5" x14ac:dyDescent="0.25">
      <c r="A48" s="1">
        <v>46</v>
      </c>
      <c r="B48" s="3">
        <f t="shared" ca="1" si="0"/>
        <v>0.55843225088582349</v>
      </c>
      <c r="C48" s="3">
        <f t="shared" ca="1" si="1"/>
        <v>8.2939911874781522</v>
      </c>
      <c r="D48" s="2">
        <f t="shared" ca="1" si="2"/>
        <v>8</v>
      </c>
    </row>
    <row r="49" spans="1:4" ht="14.5" x14ac:dyDescent="0.25">
      <c r="A49" s="1">
        <v>47</v>
      </c>
      <c r="B49" s="3">
        <f t="shared" ca="1" si="0"/>
        <v>0.17307253227028052</v>
      </c>
      <c r="C49" s="3">
        <f t="shared" ca="1" si="1"/>
        <v>6.1158141426407635</v>
      </c>
      <c r="D49" s="2">
        <f t="shared" ca="1" si="2"/>
        <v>6</v>
      </c>
    </row>
    <row r="50" spans="1:4" ht="14.5" x14ac:dyDescent="0.25">
      <c r="A50" s="1">
        <v>48</v>
      </c>
      <c r="B50" s="3">
        <f t="shared" ca="1" si="0"/>
        <v>0.6518816550776233</v>
      </c>
      <c r="C50" s="3">
        <f t="shared" ca="1" si="1"/>
        <v>8.780811085612374</v>
      </c>
      <c r="D50" s="2">
        <f t="shared" ca="1" si="2"/>
        <v>9</v>
      </c>
    </row>
    <row r="51" spans="1:4" ht="14.5" x14ac:dyDescent="0.25">
      <c r="A51" s="1">
        <v>49</v>
      </c>
      <c r="B51" s="3">
        <f t="shared" ca="1" si="0"/>
        <v>0.12900807344957743</v>
      </c>
      <c r="C51" s="3">
        <f t="shared" ca="1" si="1"/>
        <v>5.7378149345115146</v>
      </c>
      <c r="D51" s="2">
        <f t="shared" ca="1" si="2"/>
        <v>6</v>
      </c>
    </row>
    <row r="52" spans="1:4" ht="14.5" x14ac:dyDescent="0.25">
      <c r="A52" s="1">
        <v>50</v>
      </c>
      <c r="B52" s="3">
        <f t="shared" ca="1" si="0"/>
        <v>0.2049248943798494</v>
      </c>
      <c r="C52" s="3">
        <f t="shared" ca="1" si="1"/>
        <v>6.3516840027279358</v>
      </c>
      <c r="D52" s="2">
        <f t="shared" ca="1" si="2"/>
        <v>6</v>
      </c>
    </row>
  </sheetData>
  <mergeCells count="1">
    <mergeCell ref="I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2"/>
  <sheetViews>
    <sheetView topLeftCell="A333" workbookViewId="0">
      <selection activeCell="A2" sqref="A2:C502"/>
    </sheetView>
  </sheetViews>
  <sheetFormatPr defaultRowHeight="12.5" x14ac:dyDescent="0.25"/>
  <cols>
    <col min="1" max="1" width="13" customWidth="1"/>
    <col min="2" max="2" width="16.81640625" customWidth="1"/>
    <col min="3" max="3" width="11" customWidth="1"/>
    <col min="9" max="9" width="18.26953125" customWidth="1"/>
  </cols>
  <sheetData>
    <row r="1" spans="1:9" ht="15" thickBot="1" x14ac:dyDescent="0.3">
      <c r="A1" s="43" t="s">
        <v>7</v>
      </c>
      <c r="B1" s="2"/>
      <c r="C1" s="2"/>
      <c r="H1" s="47" t="s">
        <v>36</v>
      </c>
      <c r="I1" s="47"/>
    </row>
    <row r="2" spans="1:9" ht="14.5" x14ac:dyDescent="0.25">
      <c r="A2" s="1" t="s">
        <v>8</v>
      </c>
      <c r="B2" s="17" t="s">
        <v>9</v>
      </c>
      <c r="C2" s="9" t="s">
        <v>17</v>
      </c>
      <c r="E2" s="44" t="s">
        <v>37</v>
      </c>
      <c r="F2" s="44" t="s">
        <v>38</v>
      </c>
      <c r="H2" s="15" t="s">
        <v>34</v>
      </c>
      <c r="I2" s="14" t="s">
        <v>35</v>
      </c>
    </row>
    <row r="3" spans="1:9" ht="14.5" x14ac:dyDescent="0.25">
      <c r="A3" s="1">
        <v>1</v>
      </c>
      <c r="B3" s="3">
        <f ca="1">RAND()</f>
        <v>0.53032146024865268</v>
      </c>
      <c r="C3" s="2">
        <f ca="1">ROUND(_xlfn.NORM.INV(B3,$H$3,$I$3),0)</f>
        <v>8</v>
      </c>
      <c r="E3">
        <v>3</v>
      </c>
      <c r="F3">
        <f ca="1">COUNTIF($C$3:$C$502,E3)</f>
        <v>6</v>
      </c>
      <c r="H3" s="12">
        <v>8</v>
      </c>
      <c r="I3" s="10">
        <v>2</v>
      </c>
    </row>
    <row r="4" spans="1:9" ht="14.5" x14ac:dyDescent="0.25">
      <c r="A4" s="1">
        <v>2</v>
      </c>
      <c r="B4" s="3">
        <f ca="1">RAND()</f>
        <v>0.61341107898870584</v>
      </c>
      <c r="C4" s="2">
        <f t="shared" ref="C4:C67" ca="1" si="0">ROUND(_xlfn.NORM.INV(B4,$H$3,$I$3),0)</f>
        <v>9</v>
      </c>
      <c r="E4">
        <v>4</v>
      </c>
      <c r="F4">
        <f t="shared" ref="F4:F13" ca="1" si="1">COUNTIF($C$3:$C$502,E4)</f>
        <v>15</v>
      </c>
      <c r="H4" s="12"/>
      <c r="I4" s="10"/>
    </row>
    <row r="5" spans="1:9" ht="14.5" x14ac:dyDescent="0.25">
      <c r="A5" s="1">
        <v>3</v>
      </c>
      <c r="B5" s="3">
        <f t="shared" ref="B5:B68" ca="1" si="2">RAND()</f>
        <v>0.99091271967937111</v>
      </c>
      <c r="C5" s="2">
        <f t="shared" ca="1" si="0"/>
        <v>13</v>
      </c>
      <c r="E5">
        <v>5</v>
      </c>
      <c r="F5">
        <f t="shared" ca="1" si="1"/>
        <v>28</v>
      </c>
      <c r="H5" s="11"/>
      <c r="I5" s="10"/>
    </row>
    <row r="6" spans="1:9" ht="15" thickBot="1" x14ac:dyDescent="0.3">
      <c r="A6" s="1">
        <v>4</v>
      </c>
      <c r="B6" s="3">
        <f t="shared" ca="1" si="2"/>
        <v>0.83022343506116036</v>
      </c>
      <c r="C6" s="2">
        <f t="shared" ca="1" si="0"/>
        <v>10</v>
      </c>
      <c r="E6">
        <v>6</v>
      </c>
      <c r="F6">
        <f t="shared" ca="1" si="1"/>
        <v>62</v>
      </c>
      <c r="H6" s="7"/>
      <c r="I6" s="6"/>
    </row>
    <row r="7" spans="1:9" ht="14.5" x14ac:dyDescent="0.25">
      <c r="A7" s="1">
        <v>5</v>
      </c>
      <c r="B7" s="3">
        <f t="shared" ca="1" si="2"/>
        <v>0.80791063007331809</v>
      </c>
      <c r="C7" s="2">
        <f t="shared" ca="1" si="0"/>
        <v>10</v>
      </c>
      <c r="E7">
        <v>7</v>
      </c>
      <c r="F7">
        <f t="shared" ca="1" si="1"/>
        <v>97</v>
      </c>
    </row>
    <row r="8" spans="1:9" ht="14.5" x14ac:dyDescent="0.25">
      <c r="A8" s="1">
        <v>6</v>
      </c>
      <c r="B8" s="3">
        <f t="shared" ca="1" si="2"/>
        <v>0.29891315944500962</v>
      </c>
      <c r="C8" s="2">
        <f t="shared" ca="1" si="0"/>
        <v>7</v>
      </c>
      <c r="E8">
        <v>8</v>
      </c>
      <c r="F8">
        <f t="shared" ca="1" si="1"/>
        <v>97</v>
      </c>
    </row>
    <row r="9" spans="1:9" ht="14.5" x14ac:dyDescent="0.25">
      <c r="A9" s="1">
        <v>7</v>
      </c>
      <c r="B9" s="3">
        <f t="shared" ca="1" si="2"/>
        <v>0.61580387074059195</v>
      </c>
      <c r="C9" s="2">
        <f t="shared" ca="1" si="0"/>
        <v>9</v>
      </c>
      <c r="E9">
        <v>9</v>
      </c>
      <c r="F9">
        <f t="shared" ca="1" si="1"/>
        <v>97</v>
      </c>
    </row>
    <row r="10" spans="1:9" ht="14.5" x14ac:dyDescent="0.25">
      <c r="A10" s="1">
        <v>8</v>
      </c>
      <c r="B10" s="3">
        <f t="shared" ca="1" si="2"/>
        <v>5.1675659270237095E-2</v>
      </c>
      <c r="C10" s="2">
        <f t="shared" ca="1" si="0"/>
        <v>5</v>
      </c>
      <c r="E10">
        <v>10</v>
      </c>
      <c r="F10">
        <f t="shared" ca="1" si="1"/>
        <v>52</v>
      </c>
    </row>
    <row r="11" spans="1:9" ht="14.5" x14ac:dyDescent="0.25">
      <c r="A11" s="1">
        <v>9</v>
      </c>
      <c r="B11" s="3">
        <f t="shared" ca="1" si="2"/>
        <v>0.43946934559492101</v>
      </c>
      <c r="C11" s="2">
        <f t="shared" ca="1" si="0"/>
        <v>8</v>
      </c>
      <c r="E11">
        <v>11</v>
      </c>
      <c r="F11">
        <f t="shared" ca="1" si="1"/>
        <v>25</v>
      </c>
    </row>
    <row r="12" spans="1:9" ht="14.5" x14ac:dyDescent="0.25">
      <c r="A12" s="1">
        <v>10</v>
      </c>
      <c r="B12" s="3">
        <f t="shared" ca="1" si="2"/>
        <v>0.9771815844026025</v>
      </c>
      <c r="C12" s="2">
        <f t="shared" ca="1" si="0"/>
        <v>12</v>
      </c>
      <c r="E12">
        <v>12</v>
      </c>
      <c r="F12">
        <f t="shared" ca="1" si="1"/>
        <v>17</v>
      </c>
    </row>
    <row r="13" spans="1:9" ht="14.5" x14ac:dyDescent="0.25">
      <c r="A13" s="1">
        <v>11</v>
      </c>
      <c r="B13" s="3">
        <f t="shared" ca="1" si="2"/>
        <v>0.6017748267807741</v>
      </c>
      <c r="C13" s="2">
        <f ca="1">ROUND(_xlfn.NORM.INV(B13,$H$3,$I$3),0)</f>
        <v>9</v>
      </c>
      <c r="E13">
        <v>13</v>
      </c>
      <c r="F13">
        <f t="shared" ca="1" si="1"/>
        <v>3</v>
      </c>
    </row>
    <row r="14" spans="1:9" ht="14.5" x14ac:dyDescent="0.25">
      <c r="A14" s="1">
        <v>12</v>
      </c>
      <c r="B14" s="3">
        <f t="shared" ca="1" si="2"/>
        <v>0.75107545594567493</v>
      </c>
      <c r="C14" s="2">
        <f t="shared" ca="1" si="0"/>
        <v>9</v>
      </c>
    </row>
    <row r="15" spans="1:9" ht="14.5" x14ac:dyDescent="0.25">
      <c r="A15" s="1">
        <v>13</v>
      </c>
      <c r="B15" s="3">
        <f t="shared" ca="1" si="2"/>
        <v>0.94093895074384637</v>
      </c>
      <c r="C15" s="2">
        <f t="shared" ca="1" si="0"/>
        <v>11</v>
      </c>
    </row>
    <row r="16" spans="1:9" ht="14.5" x14ac:dyDescent="0.25">
      <c r="A16" s="1">
        <v>14</v>
      </c>
      <c r="B16" s="3">
        <f t="shared" ca="1" si="2"/>
        <v>0.67213914863249158</v>
      </c>
      <c r="C16" s="2">
        <f t="shared" ca="1" si="0"/>
        <v>9</v>
      </c>
    </row>
    <row r="17" spans="1:3" ht="14.5" x14ac:dyDescent="0.25">
      <c r="A17" s="1">
        <v>15</v>
      </c>
      <c r="B17" s="3">
        <f t="shared" ca="1" si="2"/>
        <v>0.29697899252500981</v>
      </c>
      <c r="C17" s="2">
        <f t="shared" ca="1" si="0"/>
        <v>7</v>
      </c>
    </row>
    <row r="18" spans="1:3" ht="14.5" x14ac:dyDescent="0.25">
      <c r="A18" s="1">
        <v>16</v>
      </c>
      <c r="B18" s="3">
        <f t="shared" ca="1" si="2"/>
        <v>0.9009741635874966</v>
      </c>
      <c r="C18" s="2">
        <f t="shared" ca="1" si="0"/>
        <v>11</v>
      </c>
    </row>
    <row r="19" spans="1:3" ht="14.5" x14ac:dyDescent="0.25">
      <c r="A19" s="1">
        <v>17</v>
      </c>
      <c r="B19" s="3">
        <f t="shared" ca="1" si="2"/>
        <v>2.1627600816604087E-2</v>
      </c>
      <c r="C19" s="2">
        <f t="shared" ca="1" si="0"/>
        <v>4</v>
      </c>
    </row>
    <row r="20" spans="1:3" ht="14.5" x14ac:dyDescent="0.25">
      <c r="A20" s="1">
        <v>18</v>
      </c>
      <c r="B20" s="3">
        <f t="shared" ca="1" si="2"/>
        <v>0.6012870648618257</v>
      </c>
      <c r="C20" s="2">
        <f t="shared" ca="1" si="0"/>
        <v>9</v>
      </c>
    </row>
    <row r="21" spans="1:3" ht="14.5" x14ac:dyDescent="0.25">
      <c r="A21" s="1">
        <v>19</v>
      </c>
      <c r="B21" s="3">
        <f t="shared" ca="1" si="2"/>
        <v>0.23894041744936689</v>
      </c>
      <c r="C21" s="2">
        <f t="shared" ca="1" si="0"/>
        <v>7</v>
      </c>
    </row>
    <row r="22" spans="1:3" ht="14.5" x14ac:dyDescent="0.25">
      <c r="A22" s="1">
        <v>20</v>
      </c>
      <c r="B22" s="3">
        <f t="shared" ca="1" si="2"/>
        <v>0.47223645101919542</v>
      </c>
      <c r="C22" s="2">
        <f t="shared" ca="1" si="0"/>
        <v>8</v>
      </c>
    </row>
    <row r="23" spans="1:3" ht="14.5" x14ac:dyDescent="0.25">
      <c r="A23" s="1">
        <v>21</v>
      </c>
      <c r="B23" s="3">
        <f t="shared" ca="1" si="2"/>
        <v>0.68989430704885513</v>
      </c>
      <c r="C23" s="2">
        <f t="shared" ca="1" si="0"/>
        <v>9</v>
      </c>
    </row>
    <row r="24" spans="1:3" ht="14.5" x14ac:dyDescent="0.25">
      <c r="A24" s="1">
        <v>22</v>
      </c>
      <c r="B24" s="3">
        <f t="shared" ca="1" si="2"/>
        <v>0.520542138044222</v>
      </c>
      <c r="C24" s="2">
        <f t="shared" ca="1" si="0"/>
        <v>8</v>
      </c>
    </row>
    <row r="25" spans="1:3" ht="14.5" x14ac:dyDescent="0.25">
      <c r="A25" s="1">
        <v>23</v>
      </c>
      <c r="B25" s="3">
        <f t="shared" ca="1" si="2"/>
        <v>0.58610597802860409</v>
      </c>
      <c r="C25" s="2">
        <f t="shared" ca="1" si="0"/>
        <v>8</v>
      </c>
    </row>
    <row r="26" spans="1:3" ht="14.5" x14ac:dyDescent="0.25">
      <c r="A26" s="1">
        <v>24</v>
      </c>
      <c r="B26" s="3">
        <f t="shared" ca="1" si="2"/>
        <v>0.58766778438097633</v>
      </c>
      <c r="C26" s="2">
        <f t="shared" ca="1" si="0"/>
        <v>8</v>
      </c>
    </row>
    <row r="27" spans="1:3" ht="14.5" x14ac:dyDescent="0.25">
      <c r="A27" s="1">
        <v>25</v>
      </c>
      <c r="B27" s="3">
        <f t="shared" ca="1" si="2"/>
        <v>0.68228305762033226</v>
      </c>
      <c r="C27" s="2">
        <f t="shared" ca="1" si="0"/>
        <v>9</v>
      </c>
    </row>
    <row r="28" spans="1:3" ht="14.5" x14ac:dyDescent="0.25">
      <c r="A28" s="1">
        <v>26</v>
      </c>
      <c r="B28" s="3">
        <f t="shared" ca="1" si="2"/>
        <v>1.2945052312985594E-2</v>
      </c>
      <c r="C28" s="2">
        <f t="shared" ca="1" si="0"/>
        <v>4</v>
      </c>
    </row>
    <row r="29" spans="1:3" ht="14.5" x14ac:dyDescent="0.25">
      <c r="A29" s="1">
        <v>27</v>
      </c>
      <c r="B29" s="3">
        <f t="shared" ca="1" si="2"/>
        <v>0.46709715123386419</v>
      </c>
      <c r="C29" s="2">
        <f t="shared" ca="1" si="0"/>
        <v>8</v>
      </c>
    </row>
    <row r="30" spans="1:3" ht="14.5" x14ac:dyDescent="0.25">
      <c r="A30" s="1">
        <v>28</v>
      </c>
      <c r="B30" s="3">
        <f t="shared" ca="1" si="2"/>
        <v>0.37251192179646231</v>
      </c>
      <c r="C30" s="2">
        <f t="shared" ca="1" si="0"/>
        <v>7</v>
      </c>
    </row>
    <row r="31" spans="1:3" ht="14.5" x14ac:dyDescent="0.25">
      <c r="A31" s="1">
        <v>29</v>
      </c>
      <c r="B31" s="3">
        <f t="shared" ca="1" si="2"/>
        <v>0.55069246542012096</v>
      </c>
      <c r="C31" s="2">
        <f t="shared" ca="1" si="0"/>
        <v>8</v>
      </c>
    </row>
    <row r="32" spans="1:3" ht="14.5" x14ac:dyDescent="0.25">
      <c r="A32" s="1">
        <v>30</v>
      </c>
      <c r="B32" s="3">
        <f t="shared" ca="1" si="2"/>
        <v>0.34442445482995931</v>
      </c>
      <c r="C32" s="2">
        <f t="shared" ca="1" si="0"/>
        <v>7</v>
      </c>
    </row>
    <row r="33" spans="1:3" ht="14.5" x14ac:dyDescent="0.25">
      <c r="A33" s="1">
        <v>31</v>
      </c>
      <c r="B33" s="3">
        <f t="shared" ca="1" si="2"/>
        <v>0.30290904893617987</v>
      </c>
      <c r="C33" s="2">
        <f t="shared" ca="1" si="0"/>
        <v>7</v>
      </c>
    </row>
    <row r="34" spans="1:3" ht="14.5" x14ac:dyDescent="0.25">
      <c r="A34" s="1">
        <v>32</v>
      </c>
      <c r="B34" s="3">
        <f t="shared" ca="1" si="2"/>
        <v>0.60151094111515901</v>
      </c>
      <c r="C34" s="2">
        <f t="shared" ca="1" si="0"/>
        <v>9</v>
      </c>
    </row>
    <row r="35" spans="1:3" ht="14.5" x14ac:dyDescent="0.25">
      <c r="A35" s="1">
        <v>33</v>
      </c>
      <c r="B35" s="3">
        <f t="shared" ca="1" si="2"/>
        <v>0.79608191351132285</v>
      </c>
      <c r="C35" s="2">
        <f t="shared" ca="1" si="0"/>
        <v>10</v>
      </c>
    </row>
    <row r="36" spans="1:3" ht="14.5" x14ac:dyDescent="0.25">
      <c r="A36" s="1">
        <v>34</v>
      </c>
      <c r="B36" s="3">
        <f t="shared" ca="1" si="2"/>
        <v>0.65407039833246583</v>
      </c>
      <c r="C36" s="2">
        <f t="shared" ca="1" si="0"/>
        <v>9</v>
      </c>
    </row>
    <row r="37" spans="1:3" ht="14.5" x14ac:dyDescent="0.25">
      <c r="A37" s="1">
        <v>35</v>
      </c>
      <c r="B37" s="3">
        <f t="shared" ca="1" si="2"/>
        <v>0.66313141851301116</v>
      </c>
      <c r="C37" s="2">
        <f t="shared" ca="1" si="0"/>
        <v>9</v>
      </c>
    </row>
    <row r="38" spans="1:3" ht="14.5" x14ac:dyDescent="0.25">
      <c r="A38" s="1">
        <v>36</v>
      </c>
      <c r="B38" s="3">
        <f t="shared" ca="1" si="2"/>
        <v>0.75893977140428315</v>
      </c>
      <c r="C38" s="2">
        <f t="shared" ca="1" si="0"/>
        <v>9</v>
      </c>
    </row>
    <row r="39" spans="1:3" ht="14.5" x14ac:dyDescent="0.25">
      <c r="A39" s="1">
        <v>37</v>
      </c>
      <c r="B39" s="3">
        <f t="shared" ca="1" si="2"/>
        <v>0.25749152504441031</v>
      </c>
      <c r="C39" s="2">
        <f t="shared" ca="1" si="0"/>
        <v>7</v>
      </c>
    </row>
    <row r="40" spans="1:3" ht="14.5" x14ac:dyDescent="0.25">
      <c r="A40" s="1">
        <v>38</v>
      </c>
      <c r="B40" s="3">
        <f t="shared" ca="1" si="2"/>
        <v>0.62908857740654123</v>
      </c>
      <c r="C40" s="2">
        <f t="shared" ca="1" si="0"/>
        <v>9</v>
      </c>
    </row>
    <row r="41" spans="1:3" ht="14.5" x14ac:dyDescent="0.25">
      <c r="A41" s="1">
        <v>39</v>
      </c>
      <c r="B41" s="3">
        <f t="shared" ca="1" si="2"/>
        <v>0.49053543179581949</v>
      </c>
      <c r="C41" s="2">
        <f t="shared" ca="1" si="0"/>
        <v>8</v>
      </c>
    </row>
    <row r="42" spans="1:3" ht="14.5" x14ac:dyDescent="0.25">
      <c r="A42" s="1">
        <v>40</v>
      </c>
      <c r="B42" s="3">
        <f t="shared" ca="1" si="2"/>
        <v>0.99748438216346857</v>
      </c>
      <c r="C42" s="2">
        <f t="shared" ca="1" si="0"/>
        <v>14</v>
      </c>
    </row>
    <row r="43" spans="1:3" ht="14.5" x14ac:dyDescent="0.25">
      <c r="A43" s="1">
        <v>41</v>
      </c>
      <c r="B43" s="3">
        <f t="shared" ca="1" si="2"/>
        <v>0.22437445358939301</v>
      </c>
      <c r="C43" s="2">
        <f t="shared" ca="1" si="0"/>
        <v>6</v>
      </c>
    </row>
    <row r="44" spans="1:3" ht="14.5" x14ac:dyDescent="0.25">
      <c r="A44" s="1">
        <v>42</v>
      </c>
      <c r="B44" s="3">
        <f t="shared" ca="1" si="2"/>
        <v>0.37506365841992773</v>
      </c>
      <c r="C44" s="2">
        <f t="shared" ca="1" si="0"/>
        <v>7</v>
      </c>
    </row>
    <row r="45" spans="1:3" ht="14.5" x14ac:dyDescent="0.25">
      <c r="A45" s="1">
        <v>43</v>
      </c>
      <c r="B45" s="3">
        <f t="shared" ca="1" si="2"/>
        <v>0.82185341905071152</v>
      </c>
      <c r="C45" s="2">
        <f t="shared" ca="1" si="0"/>
        <v>10</v>
      </c>
    </row>
    <row r="46" spans="1:3" ht="14.5" x14ac:dyDescent="0.25">
      <c r="A46" s="1">
        <v>44</v>
      </c>
      <c r="B46" s="3">
        <f t="shared" ca="1" si="2"/>
        <v>0.69022308926136</v>
      </c>
      <c r="C46" s="2">
        <f t="shared" ca="1" si="0"/>
        <v>9</v>
      </c>
    </row>
    <row r="47" spans="1:3" ht="14.5" x14ac:dyDescent="0.25">
      <c r="A47" s="1">
        <v>45</v>
      </c>
      <c r="B47" s="3">
        <f t="shared" ca="1" si="2"/>
        <v>0.62450115384044402</v>
      </c>
      <c r="C47" s="2">
        <f t="shared" ca="1" si="0"/>
        <v>9</v>
      </c>
    </row>
    <row r="48" spans="1:3" ht="14.5" x14ac:dyDescent="0.25">
      <c r="A48" s="1">
        <v>46</v>
      </c>
      <c r="B48" s="3">
        <f t="shared" ca="1" si="2"/>
        <v>0.7078141184834138</v>
      </c>
      <c r="C48" s="2">
        <f t="shared" ca="1" si="0"/>
        <v>9</v>
      </c>
    </row>
    <row r="49" spans="1:3" ht="14.5" x14ac:dyDescent="0.25">
      <c r="A49" s="1">
        <v>47</v>
      </c>
      <c r="B49" s="3">
        <f t="shared" ca="1" si="2"/>
        <v>0.78369568035164827</v>
      </c>
      <c r="C49" s="2">
        <f t="shared" ca="1" si="0"/>
        <v>10</v>
      </c>
    </row>
    <row r="50" spans="1:3" ht="14.5" x14ac:dyDescent="0.25">
      <c r="A50" s="1">
        <v>48</v>
      </c>
      <c r="B50" s="3">
        <f t="shared" ca="1" si="2"/>
        <v>0.42546455474802947</v>
      </c>
      <c r="C50" s="2">
        <f t="shared" ca="1" si="0"/>
        <v>8</v>
      </c>
    </row>
    <row r="51" spans="1:3" ht="14.5" x14ac:dyDescent="0.25">
      <c r="A51" s="1">
        <v>49</v>
      </c>
      <c r="B51" s="3">
        <f t="shared" ca="1" si="2"/>
        <v>0.26871662913143635</v>
      </c>
      <c r="C51" s="2">
        <f t="shared" ca="1" si="0"/>
        <v>7</v>
      </c>
    </row>
    <row r="52" spans="1:3" ht="14.5" x14ac:dyDescent="0.25">
      <c r="A52" s="1">
        <v>50</v>
      </c>
      <c r="B52" s="3">
        <f t="shared" ca="1" si="2"/>
        <v>0.55821582725239216</v>
      </c>
      <c r="C52" s="2">
        <f t="shared" ca="1" si="0"/>
        <v>8</v>
      </c>
    </row>
    <row r="53" spans="1:3" ht="14.5" x14ac:dyDescent="0.25">
      <c r="A53" s="1">
        <v>51</v>
      </c>
      <c r="B53" s="3">
        <f t="shared" ca="1" si="2"/>
        <v>0.96427038195146009</v>
      </c>
      <c r="C53" s="2">
        <f t="shared" ca="1" si="0"/>
        <v>12</v>
      </c>
    </row>
    <row r="54" spans="1:3" ht="14.5" x14ac:dyDescent="0.25">
      <c r="A54" s="1">
        <v>52</v>
      </c>
      <c r="B54" s="3">
        <f t="shared" ca="1" si="2"/>
        <v>0.19190980167652527</v>
      </c>
      <c r="C54" s="2">
        <f t="shared" ca="1" si="0"/>
        <v>6</v>
      </c>
    </row>
    <row r="55" spans="1:3" ht="14.5" x14ac:dyDescent="0.25">
      <c r="A55" s="1">
        <v>53</v>
      </c>
      <c r="B55" s="3">
        <f t="shared" ca="1" si="2"/>
        <v>0.30444736553039542</v>
      </c>
      <c r="C55" s="2">
        <f t="shared" ca="1" si="0"/>
        <v>7</v>
      </c>
    </row>
    <row r="56" spans="1:3" ht="14.5" x14ac:dyDescent="0.25">
      <c r="A56" s="1">
        <v>54</v>
      </c>
      <c r="B56" s="3">
        <f t="shared" ca="1" si="2"/>
        <v>0.22270357016613762</v>
      </c>
      <c r="C56" s="2">
        <f t="shared" ca="1" si="0"/>
        <v>6</v>
      </c>
    </row>
    <row r="57" spans="1:3" ht="14.5" x14ac:dyDescent="0.25">
      <c r="A57" s="1">
        <v>55</v>
      </c>
      <c r="B57" s="3">
        <f t="shared" ca="1" si="2"/>
        <v>0.904238495708092</v>
      </c>
      <c r="C57" s="2">
        <f t="shared" ca="1" si="0"/>
        <v>11</v>
      </c>
    </row>
    <row r="58" spans="1:3" ht="14.5" x14ac:dyDescent="0.25">
      <c r="A58" s="1">
        <v>56</v>
      </c>
      <c r="B58" s="3">
        <f t="shared" ca="1" si="2"/>
        <v>0.67703669771276553</v>
      </c>
      <c r="C58" s="2">
        <f t="shared" ca="1" si="0"/>
        <v>9</v>
      </c>
    </row>
    <row r="59" spans="1:3" ht="14.5" x14ac:dyDescent="0.25">
      <c r="A59" s="1">
        <v>57</v>
      </c>
      <c r="B59" s="3">
        <f t="shared" ca="1" si="2"/>
        <v>0.59784620705572666</v>
      </c>
      <c r="C59" s="2">
        <f t="shared" ca="1" si="0"/>
        <v>8</v>
      </c>
    </row>
    <row r="60" spans="1:3" ht="14.5" x14ac:dyDescent="0.25">
      <c r="A60" s="1">
        <v>58</v>
      </c>
      <c r="B60" s="3">
        <f t="shared" ca="1" si="2"/>
        <v>0.71720983935465143</v>
      </c>
      <c r="C60" s="2">
        <f t="shared" ca="1" si="0"/>
        <v>9</v>
      </c>
    </row>
    <row r="61" spans="1:3" ht="14.5" x14ac:dyDescent="0.25">
      <c r="A61" s="1">
        <v>59</v>
      </c>
      <c r="B61" s="3">
        <f t="shared" ca="1" si="2"/>
        <v>0.21272901714175751</v>
      </c>
      <c r="C61" s="2">
        <f t="shared" ca="1" si="0"/>
        <v>6</v>
      </c>
    </row>
    <row r="62" spans="1:3" ht="14.5" x14ac:dyDescent="0.25">
      <c r="A62" s="1">
        <v>60</v>
      </c>
      <c r="B62" s="3">
        <f t="shared" ca="1" si="2"/>
        <v>0.17329405381223406</v>
      </c>
      <c r="C62" s="2">
        <f t="shared" ca="1" si="0"/>
        <v>6</v>
      </c>
    </row>
    <row r="63" spans="1:3" ht="14.5" x14ac:dyDescent="0.25">
      <c r="A63" s="1">
        <v>61</v>
      </c>
      <c r="B63" s="3">
        <f t="shared" ca="1" si="2"/>
        <v>0.31454713504073595</v>
      </c>
      <c r="C63" s="2">
        <f t="shared" ca="1" si="0"/>
        <v>7</v>
      </c>
    </row>
    <row r="64" spans="1:3" ht="14.5" x14ac:dyDescent="0.25">
      <c r="A64" s="1">
        <v>62</v>
      </c>
      <c r="B64" s="3">
        <f t="shared" ca="1" si="2"/>
        <v>0.83407879687827313</v>
      </c>
      <c r="C64" s="2">
        <f t="shared" ca="1" si="0"/>
        <v>10</v>
      </c>
    </row>
    <row r="65" spans="1:3" ht="14.5" x14ac:dyDescent="0.25">
      <c r="A65" s="1">
        <v>63</v>
      </c>
      <c r="B65" s="3">
        <f t="shared" ca="1" si="2"/>
        <v>0.53320388148601028</v>
      </c>
      <c r="C65" s="2">
        <f t="shared" ca="1" si="0"/>
        <v>8</v>
      </c>
    </row>
    <row r="66" spans="1:3" ht="14.5" x14ac:dyDescent="0.25">
      <c r="A66" s="1">
        <v>64</v>
      </c>
      <c r="B66" s="3">
        <f t="shared" ca="1" si="2"/>
        <v>0.91469251581977495</v>
      </c>
      <c r="C66" s="2">
        <f t="shared" ca="1" si="0"/>
        <v>11</v>
      </c>
    </row>
    <row r="67" spans="1:3" ht="14.5" x14ac:dyDescent="0.25">
      <c r="A67" s="1">
        <v>65</v>
      </c>
      <c r="B67" s="3">
        <f t="shared" ca="1" si="2"/>
        <v>4.6817318021395216E-2</v>
      </c>
      <c r="C67" s="2">
        <f t="shared" ca="1" si="0"/>
        <v>5</v>
      </c>
    </row>
    <row r="68" spans="1:3" ht="14.5" x14ac:dyDescent="0.25">
      <c r="A68" s="1">
        <v>66</v>
      </c>
      <c r="B68" s="3">
        <f t="shared" ca="1" si="2"/>
        <v>0.77783805594158417</v>
      </c>
      <c r="C68" s="2">
        <f t="shared" ref="C68:C131" ca="1" si="3">ROUND(_xlfn.NORM.INV(B68,$H$3,$I$3),0)</f>
        <v>10</v>
      </c>
    </row>
    <row r="69" spans="1:3" ht="14.5" x14ac:dyDescent="0.25">
      <c r="A69" s="1">
        <v>67</v>
      </c>
      <c r="B69" s="3">
        <f t="shared" ref="B69:B132" ca="1" si="4">RAND()</f>
        <v>0.93341810624531918</v>
      </c>
      <c r="C69" s="2">
        <f t="shared" ca="1" si="3"/>
        <v>11</v>
      </c>
    </row>
    <row r="70" spans="1:3" ht="14.5" x14ac:dyDescent="0.25">
      <c r="A70" s="1">
        <v>68</v>
      </c>
      <c r="B70" s="3">
        <f t="shared" ca="1" si="4"/>
        <v>0.75392676776258416</v>
      </c>
      <c r="C70" s="2">
        <f t="shared" ca="1" si="3"/>
        <v>9</v>
      </c>
    </row>
    <row r="71" spans="1:3" ht="14.5" x14ac:dyDescent="0.25">
      <c r="A71" s="1">
        <v>69</v>
      </c>
      <c r="B71" s="3">
        <f t="shared" ca="1" si="4"/>
        <v>0.16788532446957671</v>
      </c>
      <c r="C71" s="2">
        <f t="shared" ca="1" si="3"/>
        <v>6</v>
      </c>
    </row>
    <row r="72" spans="1:3" ht="14.5" x14ac:dyDescent="0.25">
      <c r="A72" s="1">
        <v>70</v>
      </c>
      <c r="B72" s="3">
        <f t="shared" ca="1" si="4"/>
        <v>0.80919705647956486</v>
      </c>
      <c r="C72" s="2">
        <f t="shared" ca="1" si="3"/>
        <v>10</v>
      </c>
    </row>
    <row r="73" spans="1:3" ht="14.5" x14ac:dyDescent="0.25">
      <c r="A73" s="1">
        <v>71</v>
      </c>
      <c r="B73" s="3">
        <f t="shared" ca="1" si="4"/>
        <v>0.11164286346805308</v>
      </c>
      <c r="C73" s="2">
        <f t="shared" ca="1" si="3"/>
        <v>6</v>
      </c>
    </row>
    <row r="74" spans="1:3" ht="14.5" x14ac:dyDescent="0.25">
      <c r="A74" s="1">
        <v>72</v>
      </c>
      <c r="B74" s="3">
        <f t="shared" ca="1" si="4"/>
        <v>0.71393542806346122</v>
      </c>
      <c r="C74" s="2">
        <f t="shared" ca="1" si="3"/>
        <v>9</v>
      </c>
    </row>
    <row r="75" spans="1:3" ht="14.5" x14ac:dyDescent="0.25">
      <c r="A75" s="1">
        <v>73</v>
      </c>
      <c r="B75" s="3">
        <f t="shared" ca="1" si="4"/>
        <v>0.48596630559504228</v>
      </c>
      <c r="C75" s="2">
        <f t="shared" ca="1" si="3"/>
        <v>8</v>
      </c>
    </row>
    <row r="76" spans="1:3" ht="14.5" x14ac:dyDescent="0.25">
      <c r="A76" s="1">
        <v>74</v>
      </c>
      <c r="B76" s="3">
        <f t="shared" ca="1" si="4"/>
        <v>0.85226168379657219</v>
      </c>
      <c r="C76" s="2">
        <f t="shared" ca="1" si="3"/>
        <v>10</v>
      </c>
    </row>
    <row r="77" spans="1:3" ht="14.5" x14ac:dyDescent="0.25">
      <c r="A77" s="1">
        <v>75</v>
      </c>
      <c r="B77" s="3">
        <f t="shared" ca="1" si="4"/>
        <v>0.13544573146648697</v>
      </c>
      <c r="C77" s="2">
        <f t="shared" ca="1" si="3"/>
        <v>6</v>
      </c>
    </row>
    <row r="78" spans="1:3" ht="14.5" x14ac:dyDescent="0.25">
      <c r="A78" s="1">
        <v>76</v>
      </c>
      <c r="B78" s="3">
        <f t="shared" ca="1" si="4"/>
        <v>0.86674493600279834</v>
      </c>
      <c r="C78" s="2">
        <f t="shared" ca="1" si="3"/>
        <v>10</v>
      </c>
    </row>
    <row r="79" spans="1:3" ht="14.5" x14ac:dyDescent="0.25">
      <c r="A79" s="1">
        <v>77</v>
      </c>
      <c r="B79" s="3">
        <f t="shared" ca="1" si="4"/>
        <v>2.1065024467097682E-2</v>
      </c>
      <c r="C79" s="2">
        <f t="shared" ca="1" si="3"/>
        <v>4</v>
      </c>
    </row>
    <row r="80" spans="1:3" ht="14.5" x14ac:dyDescent="0.25">
      <c r="A80" s="1">
        <v>78</v>
      </c>
      <c r="B80" s="3">
        <f t="shared" ca="1" si="4"/>
        <v>0.37616276109712898</v>
      </c>
      <c r="C80" s="2">
        <f t="shared" ca="1" si="3"/>
        <v>7</v>
      </c>
    </row>
    <row r="81" spans="1:3" ht="14.5" x14ac:dyDescent="0.25">
      <c r="A81" s="1">
        <v>79</v>
      </c>
      <c r="B81" s="3">
        <f t="shared" ca="1" si="4"/>
        <v>0.66595083727217008</v>
      </c>
      <c r="C81" s="2">
        <f t="shared" ca="1" si="3"/>
        <v>9</v>
      </c>
    </row>
    <row r="82" spans="1:3" ht="14.5" x14ac:dyDescent="0.25">
      <c r="A82" s="1">
        <v>80</v>
      </c>
      <c r="B82" s="3">
        <f t="shared" ca="1" si="4"/>
        <v>0.21109898795810889</v>
      </c>
      <c r="C82" s="2">
        <f t="shared" ca="1" si="3"/>
        <v>6</v>
      </c>
    </row>
    <row r="83" spans="1:3" ht="14.5" x14ac:dyDescent="0.25">
      <c r="A83" s="1">
        <v>81</v>
      </c>
      <c r="B83" s="3">
        <f t="shared" ca="1" si="4"/>
        <v>0.1335236464884727</v>
      </c>
      <c r="C83" s="2">
        <f t="shared" ca="1" si="3"/>
        <v>6</v>
      </c>
    </row>
    <row r="84" spans="1:3" ht="14.5" x14ac:dyDescent="0.25">
      <c r="A84" s="1">
        <v>82</v>
      </c>
      <c r="B84" s="3">
        <f t="shared" ca="1" si="4"/>
        <v>0.56505264297082181</v>
      </c>
      <c r="C84" s="2">
        <f t="shared" ca="1" si="3"/>
        <v>8</v>
      </c>
    </row>
    <row r="85" spans="1:3" ht="14.5" x14ac:dyDescent="0.25">
      <c r="A85" s="1">
        <v>83</v>
      </c>
      <c r="B85" s="3">
        <f t="shared" ca="1" si="4"/>
        <v>0.85588591061998975</v>
      </c>
      <c r="C85" s="2">
        <f t="shared" ca="1" si="3"/>
        <v>10</v>
      </c>
    </row>
    <row r="86" spans="1:3" ht="14.5" x14ac:dyDescent="0.25">
      <c r="A86" s="1">
        <v>84</v>
      </c>
      <c r="B86" s="3">
        <f t="shared" ca="1" si="4"/>
        <v>0.41114272674621588</v>
      </c>
      <c r="C86" s="2">
        <f t="shared" ca="1" si="3"/>
        <v>8</v>
      </c>
    </row>
    <row r="87" spans="1:3" ht="14.5" x14ac:dyDescent="0.25">
      <c r="A87" s="1">
        <v>85</v>
      </c>
      <c r="B87" s="3">
        <f t="shared" ca="1" si="4"/>
        <v>0.13007391119177469</v>
      </c>
      <c r="C87" s="2">
        <f t="shared" ca="1" si="3"/>
        <v>6</v>
      </c>
    </row>
    <row r="88" spans="1:3" ht="14.5" x14ac:dyDescent="0.25">
      <c r="A88" s="1">
        <v>86</v>
      </c>
      <c r="B88" s="3">
        <f t="shared" ca="1" si="4"/>
        <v>0.63252937547008692</v>
      </c>
      <c r="C88" s="2">
        <f t="shared" ca="1" si="3"/>
        <v>9</v>
      </c>
    </row>
    <row r="89" spans="1:3" ht="14.5" x14ac:dyDescent="0.25">
      <c r="A89" s="1">
        <v>87</v>
      </c>
      <c r="B89" s="3">
        <f t="shared" ca="1" si="4"/>
        <v>0.26532008641512284</v>
      </c>
      <c r="C89" s="2">
        <f t="shared" ca="1" si="3"/>
        <v>7</v>
      </c>
    </row>
    <row r="90" spans="1:3" ht="14.5" x14ac:dyDescent="0.25">
      <c r="A90" s="1">
        <v>88</v>
      </c>
      <c r="B90" s="3">
        <f t="shared" ca="1" si="4"/>
        <v>0.98576915316051283</v>
      </c>
      <c r="C90" s="2">
        <f t="shared" ca="1" si="3"/>
        <v>12</v>
      </c>
    </row>
    <row r="91" spans="1:3" ht="14.5" x14ac:dyDescent="0.25">
      <c r="A91" s="1">
        <v>89</v>
      </c>
      <c r="B91" s="3">
        <f t="shared" ca="1" si="4"/>
        <v>0.46352200437985913</v>
      </c>
      <c r="C91" s="2">
        <f t="shared" ca="1" si="3"/>
        <v>8</v>
      </c>
    </row>
    <row r="92" spans="1:3" ht="14.5" x14ac:dyDescent="0.25">
      <c r="A92" s="1">
        <v>90</v>
      </c>
      <c r="B92" s="3">
        <f t="shared" ca="1" si="4"/>
        <v>0.8720622053866427</v>
      </c>
      <c r="C92" s="2">
        <f t="shared" ca="1" si="3"/>
        <v>10</v>
      </c>
    </row>
    <row r="93" spans="1:3" ht="14.5" x14ac:dyDescent="0.25">
      <c r="A93" s="1">
        <v>91</v>
      </c>
      <c r="B93" s="3">
        <f t="shared" ca="1" si="4"/>
        <v>0.17974396855494124</v>
      </c>
      <c r="C93" s="2">
        <f t="shared" ca="1" si="3"/>
        <v>6</v>
      </c>
    </row>
    <row r="94" spans="1:3" ht="14.5" x14ac:dyDescent="0.25">
      <c r="A94" s="1">
        <v>92</v>
      </c>
      <c r="B94" s="3">
        <f t="shared" ca="1" si="4"/>
        <v>0.31204842217641027</v>
      </c>
      <c r="C94" s="2">
        <f t="shared" ca="1" si="3"/>
        <v>7</v>
      </c>
    </row>
    <row r="95" spans="1:3" ht="14.5" x14ac:dyDescent="0.25">
      <c r="A95" s="1">
        <v>93</v>
      </c>
      <c r="B95" s="3">
        <f t="shared" ca="1" si="4"/>
        <v>0.74287607288270507</v>
      </c>
      <c r="C95" s="2">
        <f t="shared" ca="1" si="3"/>
        <v>9</v>
      </c>
    </row>
    <row r="96" spans="1:3" ht="14.5" x14ac:dyDescent="0.25">
      <c r="A96" s="1">
        <v>94</v>
      </c>
      <c r="B96" s="3">
        <f t="shared" ca="1" si="4"/>
        <v>0.28002350612440496</v>
      </c>
      <c r="C96" s="2">
        <f t="shared" ca="1" si="3"/>
        <v>7</v>
      </c>
    </row>
    <row r="97" spans="1:3" ht="14.5" x14ac:dyDescent="0.25">
      <c r="A97" s="1">
        <v>95</v>
      </c>
      <c r="B97" s="3">
        <f t="shared" ca="1" si="4"/>
        <v>0.47157368077755435</v>
      </c>
      <c r="C97" s="2">
        <f t="shared" ca="1" si="3"/>
        <v>8</v>
      </c>
    </row>
    <row r="98" spans="1:3" ht="14.5" x14ac:dyDescent="0.25">
      <c r="A98" s="1">
        <v>96</v>
      </c>
      <c r="B98" s="3">
        <f t="shared" ca="1" si="4"/>
        <v>0.56620745035833409</v>
      </c>
      <c r="C98" s="2">
        <f t="shared" ca="1" si="3"/>
        <v>8</v>
      </c>
    </row>
    <row r="99" spans="1:3" ht="14.5" x14ac:dyDescent="0.25">
      <c r="A99" s="1">
        <v>97</v>
      </c>
      <c r="B99" s="3">
        <f t="shared" ca="1" si="4"/>
        <v>0.6064788881899893</v>
      </c>
      <c r="C99" s="2">
        <f t="shared" ca="1" si="3"/>
        <v>9</v>
      </c>
    </row>
    <row r="100" spans="1:3" ht="14.5" x14ac:dyDescent="0.25">
      <c r="A100" s="1">
        <v>98</v>
      </c>
      <c r="B100" s="3">
        <f t="shared" ca="1" si="4"/>
        <v>0.34651270086370478</v>
      </c>
      <c r="C100" s="2">
        <f t="shared" ca="1" si="3"/>
        <v>7</v>
      </c>
    </row>
    <row r="101" spans="1:3" ht="14.5" x14ac:dyDescent="0.25">
      <c r="A101" s="1">
        <v>99</v>
      </c>
      <c r="B101" s="3">
        <f t="shared" ca="1" si="4"/>
        <v>0.71522086457258671</v>
      </c>
      <c r="C101" s="2">
        <f t="shared" ca="1" si="3"/>
        <v>9</v>
      </c>
    </row>
    <row r="102" spans="1:3" ht="14.5" x14ac:dyDescent="0.25">
      <c r="A102" s="1">
        <v>100</v>
      </c>
      <c r="B102" s="3">
        <f t="shared" ca="1" si="4"/>
        <v>0.30350903375395599</v>
      </c>
      <c r="C102" s="2">
        <f t="shared" ca="1" si="3"/>
        <v>7</v>
      </c>
    </row>
    <row r="103" spans="1:3" ht="14.5" x14ac:dyDescent="0.25">
      <c r="A103" s="1">
        <v>101</v>
      </c>
      <c r="B103" s="3">
        <f t="shared" ca="1" si="4"/>
        <v>0.64903733270123021</v>
      </c>
      <c r="C103" s="2">
        <f t="shared" ca="1" si="3"/>
        <v>9</v>
      </c>
    </row>
    <row r="104" spans="1:3" ht="14.5" x14ac:dyDescent="0.25">
      <c r="A104" s="1">
        <v>102</v>
      </c>
      <c r="B104" s="3">
        <f t="shared" ca="1" si="4"/>
        <v>0.83698806121239944</v>
      </c>
      <c r="C104" s="2">
        <f t="shared" ca="1" si="3"/>
        <v>10</v>
      </c>
    </row>
    <row r="105" spans="1:3" ht="14.5" x14ac:dyDescent="0.25">
      <c r="A105" s="1">
        <v>103</v>
      </c>
      <c r="B105" s="3">
        <f t="shared" ca="1" si="4"/>
        <v>0.92558461237567735</v>
      </c>
      <c r="C105" s="2">
        <f t="shared" ca="1" si="3"/>
        <v>11</v>
      </c>
    </row>
    <row r="106" spans="1:3" ht="14.5" x14ac:dyDescent="0.25">
      <c r="A106" s="1">
        <v>104</v>
      </c>
      <c r="B106" s="3">
        <f t="shared" ca="1" si="4"/>
        <v>0.82388308370732855</v>
      </c>
      <c r="C106" s="2">
        <f t="shared" ca="1" si="3"/>
        <v>10</v>
      </c>
    </row>
    <row r="107" spans="1:3" ht="14.5" x14ac:dyDescent="0.25">
      <c r="A107" s="1">
        <v>105</v>
      </c>
      <c r="B107" s="3">
        <f t="shared" ca="1" si="4"/>
        <v>0.94251738096147397</v>
      </c>
      <c r="C107" s="2">
        <f t="shared" ca="1" si="3"/>
        <v>11</v>
      </c>
    </row>
    <row r="108" spans="1:3" ht="14.5" x14ac:dyDescent="0.25">
      <c r="A108" s="1">
        <v>106</v>
      </c>
      <c r="B108" s="3">
        <f t="shared" ca="1" si="4"/>
        <v>0.35259801234068588</v>
      </c>
      <c r="C108" s="2">
        <f t="shared" ca="1" si="3"/>
        <v>7</v>
      </c>
    </row>
    <row r="109" spans="1:3" ht="14.5" x14ac:dyDescent="0.25">
      <c r="A109" s="1">
        <v>107</v>
      </c>
      <c r="B109" s="3">
        <f t="shared" ca="1" si="4"/>
        <v>0.73185800511818866</v>
      </c>
      <c r="C109" s="2">
        <f t="shared" ca="1" si="3"/>
        <v>9</v>
      </c>
    </row>
    <row r="110" spans="1:3" ht="14.5" x14ac:dyDescent="0.25">
      <c r="A110" s="1">
        <v>108</v>
      </c>
      <c r="B110" s="3">
        <f t="shared" ca="1" si="4"/>
        <v>0.59511247338690643</v>
      </c>
      <c r="C110" s="2">
        <f t="shared" ca="1" si="3"/>
        <v>8</v>
      </c>
    </row>
    <row r="111" spans="1:3" ht="14.5" x14ac:dyDescent="0.25">
      <c r="A111" s="1">
        <v>109</v>
      </c>
      <c r="B111" s="3">
        <f t="shared" ca="1" si="4"/>
        <v>0.43817526777213844</v>
      </c>
      <c r="C111" s="2">
        <f t="shared" ca="1" si="3"/>
        <v>8</v>
      </c>
    </row>
    <row r="112" spans="1:3" ht="14.5" x14ac:dyDescent="0.25">
      <c r="A112" s="1">
        <v>110</v>
      </c>
      <c r="B112" s="3">
        <f t="shared" ca="1" si="4"/>
        <v>0.73183972613365988</v>
      </c>
      <c r="C112" s="2">
        <f t="shared" ca="1" si="3"/>
        <v>9</v>
      </c>
    </row>
    <row r="113" spans="1:3" ht="14.5" x14ac:dyDescent="0.25">
      <c r="A113" s="1">
        <v>111</v>
      </c>
      <c r="B113" s="3">
        <f t="shared" ca="1" si="4"/>
        <v>0.67103184848130115</v>
      </c>
      <c r="C113" s="2">
        <f t="shared" ca="1" si="3"/>
        <v>9</v>
      </c>
    </row>
    <row r="114" spans="1:3" ht="14.5" x14ac:dyDescent="0.25">
      <c r="A114" s="1">
        <v>112</v>
      </c>
      <c r="B114" s="3">
        <f t="shared" ca="1" si="4"/>
        <v>0.69930037066142936</v>
      </c>
      <c r="C114" s="2">
        <f t="shared" ca="1" si="3"/>
        <v>9</v>
      </c>
    </row>
    <row r="115" spans="1:3" ht="14.5" x14ac:dyDescent="0.25">
      <c r="A115" s="1">
        <v>113</v>
      </c>
      <c r="B115" s="3">
        <f t="shared" ca="1" si="4"/>
        <v>0.58654901188312869</v>
      </c>
      <c r="C115" s="2">
        <f t="shared" ca="1" si="3"/>
        <v>8</v>
      </c>
    </row>
    <row r="116" spans="1:3" ht="14.5" x14ac:dyDescent="0.25">
      <c r="A116" s="1">
        <v>114</v>
      </c>
      <c r="B116" s="3">
        <f t="shared" ca="1" si="4"/>
        <v>4.5845753649746412E-2</v>
      </c>
      <c r="C116" s="2">
        <f t="shared" ca="1" si="3"/>
        <v>5</v>
      </c>
    </row>
    <row r="117" spans="1:3" ht="14.5" x14ac:dyDescent="0.25">
      <c r="A117" s="1">
        <v>115</v>
      </c>
      <c r="B117" s="3">
        <f t="shared" ca="1" si="4"/>
        <v>0.83526799695454745</v>
      </c>
      <c r="C117" s="2">
        <f t="shared" ca="1" si="3"/>
        <v>10</v>
      </c>
    </row>
    <row r="118" spans="1:3" ht="14.5" x14ac:dyDescent="0.25">
      <c r="A118" s="1">
        <v>116</v>
      </c>
      <c r="B118" s="3">
        <f t="shared" ca="1" si="4"/>
        <v>0.23049020351970817</v>
      </c>
      <c r="C118" s="2">
        <f t="shared" ca="1" si="3"/>
        <v>7</v>
      </c>
    </row>
    <row r="119" spans="1:3" ht="14.5" x14ac:dyDescent="0.25">
      <c r="A119" s="1">
        <v>117</v>
      </c>
      <c r="B119" s="3">
        <f t="shared" ca="1" si="4"/>
        <v>0.85668902570843031</v>
      </c>
      <c r="C119" s="2">
        <f t="shared" ca="1" si="3"/>
        <v>10</v>
      </c>
    </row>
    <row r="120" spans="1:3" ht="14.5" x14ac:dyDescent="0.25">
      <c r="A120" s="1">
        <v>118</v>
      </c>
      <c r="B120" s="3">
        <f t="shared" ca="1" si="4"/>
        <v>0.66372496478061715</v>
      </c>
      <c r="C120" s="2">
        <f t="shared" ca="1" si="3"/>
        <v>9</v>
      </c>
    </row>
    <row r="121" spans="1:3" ht="14.5" x14ac:dyDescent="0.25">
      <c r="A121" s="1">
        <v>119</v>
      </c>
      <c r="B121" s="3">
        <f t="shared" ca="1" si="4"/>
        <v>0.42341597444440826</v>
      </c>
      <c r="C121" s="2">
        <f t="shared" ca="1" si="3"/>
        <v>8</v>
      </c>
    </row>
    <row r="122" spans="1:3" ht="14.5" x14ac:dyDescent="0.25">
      <c r="A122" s="1">
        <v>120</v>
      </c>
      <c r="B122" s="3">
        <f t="shared" ca="1" si="4"/>
        <v>5.9268646641913225E-2</v>
      </c>
      <c r="C122" s="2">
        <f t="shared" ca="1" si="3"/>
        <v>5</v>
      </c>
    </row>
    <row r="123" spans="1:3" ht="14.5" x14ac:dyDescent="0.25">
      <c r="A123" s="1">
        <v>121</v>
      </c>
      <c r="B123" s="3">
        <f t="shared" ca="1" si="4"/>
        <v>0.36264214982175058</v>
      </c>
      <c r="C123" s="2">
        <f t="shared" ca="1" si="3"/>
        <v>7</v>
      </c>
    </row>
    <row r="124" spans="1:3" ht="14.5" x14ac:dyDescent="0.25">
      <c r="A124" s="1">
        <v>122</v>
      </c>
      <c r="B124" s="3">
        <f t="shared" ca="1" si="4"/>
        <v>0.38200616496080142</v>
      </c>
      <c r="C124" s="2">
        <f t="shared" ca="1" si="3"/>
        <v>7</v>
      </c>
    </row>
    <row r="125" spans="1:3" ht="14.5" x14ac:dyDescent="0.25">
      <c r="A125" s="1">
        <v>123</v>
      </c>
      <c r="B125" s="3">
        <f t="shared" ca="1" si="4"/>
        <v>0.2932613803013584</v>
      </c>
      <c r="C125" s="2">
        <f t="shared" ca="1" si="3"/>
        <v>7</v>
      </c>
    </row>
    <row r="126" spans="1:3" ht="14.5" x14ac:dyDescent="0.25">
      <c r="A126" s="1">
        <v>124</v>
      </c>
      <c r="B126" s="3">
        <f t="shared" ca="1" si="4"/>
        <v>0.58030574722896422</v>
      </c>
      <c r="C126" s="2">
        <f t="shared" ca="1" si="3"/>
        <v>8</v>
      </c>
    </row>
    <row r="127" spans="1:3" ht="14.5" x14ac:dyDescent="0.25">
      <c r="A127" s="1">
        <v>125</v>
      </c>
      <c r="B127" s="3">
        <f t="shared" ca="1" si="4"/>
        <v>0.85467729266240289</v>
      </c>
      <c r="C127" s="2">
        <f t="shared" ca="1" si="3"/>
        <v>10</v>
      </c>
    </row>
    <row r="128" spans="1:3" ht="14.5" x14ac:dyDescent="0.25">
      <c r="A128" s="1">
        <v>126</v>
      </c>
      <c r="B128" s="3">
        <f t="shared" ca="1" si="4"/>
        <v>0.24681894466060916</v>
      </c>
      <c r="C128" s="2">
        <f t="shared" ca="1" si="3"/>
        <v>7</v>
      </c>
    </row>
    <row r="129" spans="1:3" ht="14.5" x14ac:dyDescent="0.25">
      <c r="A129" s="1">
        <v>127</v>
      </c>
      <c r="B129" s="3">
        <f t="shared" ca="1" si="4"/>
        <v>0.26688617656062275</v>
      </c>
      <c r="C129" s="2">
        <f t="shared" ca="1" si="3"/>
        <v>7</v>
      </c>
    </row>
    <row r="130" spans="1:3" ht="14.5" x14ac:dyDescent="0.25">
      <c r="A130" s="1">
        <v>128</v>
      </c>
      <c r="B130" s="3">
        <f t="shared" ca="1" si="4"/>
        <v>0.59377156937344466</v>
      </c>
      <c r="C130" s="2">
        <f t="shared" ca="1" si="3"/>
        <v>8</v>
      </c>
    </row>
    <row r="131" spans="1:3" ht="14.5" x14ac:dyDescent="0.25">
      <c r="A131" s="1">
        <v>129</v>
      </c>
      <c r="B131" s="3">
        <f t="shared" ca="1" si="4"/>
        <v>2.8932562440114218E-2</v>
      </c>
      <c r="C131" s="2">
        <f t="shared" ca="1" si="3"/>
        <v>4</v>
      </c>
    </row>
    <row r="132" spans="1:3" ht="14.5" x14ac:dyDescent="0.25">
      <c r="A132" s="1">
        <v>130</v>
      </c>
      <c r="B132" s="3">
        <f t="shared" ca="1" si="4"/>
        <v>0.52356344383089393</v>
      </c>
      <c r="C132" s="2">
        <f t="shared" ref="C132:C195" ca="1" si="5">ROUND(_xlfn.NORM.INV(B132,$H$3,$I$3),0)</f>
        <v>8</v>
      </c>
    </row>
    <row r="133" spans="1:3" ht="14.5" x14ac:dyDescent="0.25">
      <c r="A133" s="1">
        <v>131</v>
      </c>
      <c r="B133" s="3">
        <f t="shared" ref="B133:B196" ca="1" si="6">RAND()</f>
        <v>0.50191126303250999</v>
      </c>
      <c r="C133" s="2">
        <f t="shared" ca="1" si="5"/>
        <v>8</v>
      </c>
    </row>
    <row r="134" spans="1:3" ht="14.5" x14ac:dyDescent="0.25">
      <c r="A134" s="1">
        <v>132</v>
      </c>
      <c r="B134" s="3">
        <f t="shared" ca="1" si="6"/>
        <v>0.23264115827315301</v>
      </c>
      <c r="C134" s="2">
        <f t="shared" ca="1" si="5"/>
        <v>7</v>
      </c>
    </row>
    <row r="135" spans="1:3" ht="14.5" x14ac:dyDescent="0.25">
      <c r="A135" s="1">
        <v>133</v>
      </c>
      <c r="B135" s="3">
        <f t="shared" ca="1" si="6"/>
        <v>0.13296967314079777</v>
      </c>
      <c r="C135" s="2">
        <f t="shared" ca="1" si="5"/>
        <v>6</v>
      </c>
    </row>
    <row r="136" spans="1:3" ht="14.5" x14ac:dyDescent="0.25">
      <c r="A136" s="1">
        <v>134</v>
      </c>
      <c r="B136" s="3">
        <f t="shared" ca="1" si="6"/>
        <v>0.15417879355437225</v>
      </c>
      <c r="C136" s="2">
        <f t="shared" ca="1" si="5"/>
        <v>6</v>
      </c>
    </row>
    <row r="137" spans="1:3" ht="14.5" x14ac:dyDescent="0.25">
      <c r="A137" s="1">
        <v>135</v>
      </c>
      <c r="B137" s="3">
        <f t="shared" ca="1" si="6"/>
        <v>0.77867891340741946</v>
      </c>
      <c r="C137" s="2">
        <f t="shared" ca="1" si="5"/>
        <v>10</v>
      </c>
    </row>
    <row r="138" spans="1:3" ht="14.5" x14ac:dyDescent="0.25">
      <c r="A138" s="1">
        <v>136</v>
      </c>
      <c r="B138" s="3">
        <f t="shared" ca="1" si="6"/>
        <v>0.33941388626233437</v>
      </c>
      <c r="C138" s="2">
        <f t="shared" ca="1" si="5"/>
        <v>7</v>
      </c>
    </row>
    <row r="139" spans="1:3" ht="14.5" x14ac:dyDescent="0.25">
      <c r="A139" s="1">
        <v>137</v>
      </c>
      <c r="B139" s="3">
        <f t="shared" ca="1" si="6"/>
        <v>0.82778230530395003</v>
      </c>
      <c r="C139" s="2">
        <f t="shared" ca="1" si="5"/>
        <v>10</v>
      </c>
    </row>
    <row r="140" spans="1:3" ht="14.5" x14ac:dyDescent="0.25">
      <c r="A140" s="1">
        <v>138</v>
      </c>
      <c r="B140" s="3">
        <f t="shared" ca="1" si="6"/>
        <v>0.13218247620492585</v>
      </c>
      <c r="C140" s="2">
        <f t="shared" ca="1" si="5"/>
        <v>6</v>
      </c>
    </row>
    <row r="141" spans="1:3" ht="14.5" x14ac:dyDescent="0.25">
      <c r="A141" s="1">
        <v>139</v>
      </c>
      <c r="B141" s="3">
        <f t="shared" ca="1" si="6"/>
        <v>0.242446453054879</v>
      </c>
      <c r="C141" s="2">
        <f t="shared" ca="1" si="5"/>
        <v>7</v>
      </c>
    </row>
    <row r="142" spans="1:3" ht="14.5" x14ac:dyDescent="0.25">
      <c r="A142" s="1">
        <v>140</v>
      </c>
      <c r="B142" s="3">
        <f t="shared" ca="1" si="6"/>
        <v>8.2473339834185144E-2</v>
      </c>
      <c r="C142" s="2">
        <f t="shared" ca="1" si="5"/>
        <v>5</v>
      </c>
    </row>
    <row r="143" spans="1:3" ht="14.5" x14ac:dyDescent="0.25">
      <c r="A143" s="1">
        <v>141</v>
      </c>
      <c r="B143" s="3">
        <f t="shared" ca="1" si="6"/>
        <v>0.87550798406053609</v>
      </c>
      <c r="C143" s="2">
        <f t="shared" ca="1" si="5"/>
        <v>10</v>
      </c>
    </row>
    <row r="144" spans="1:3" ht="14.5" x14ac:dyDescent="0.25">
      <c r="A144" s="1">
        <v>142</v>
      </c>
      <c r="B144" s="3">
        <f t="shared" ca="1" si="6"/>
        <v>9.7666428720140086E-2</v>
      </c>
      <c r="C144" s="2">
        <f t="shared" ca="1" si="5"/>
        <v>5</v>
      </c>
    </row>
    <row r="145" spans="1:3" ht="14.5" x14ac:dyDescent="0.25">
      <c r="A145" s="1">
        <v>143</v>
      </c>
      <c r="B145" s="3">
        <f t="shared" ca="1" si="6"/>
        <v>0.18343789510368746</v>
      </c>
      <c r="C145" s="2">
        <f t="shared" ca="1" si="5"/>
        <v>6</v>
      </c>
    </row>
    <row r="146" spans="1:3" ht="14.5" x14ac:dyDescent="0.25">
      <c r="A146" s="1">
        <v>144</v>
      </c>
      <c r="B146" s="3">
        <f t="shared" ca="1" si="6"/>
        <v>0.86966269505358285</v>
      </c>
      <c r="C146" s="2">
        <f t="shared" ca="1" si="5"/>
        <v>10</v>
      </c>
    </row>
    <row r="147" spans="1:3" ht="14.5" x14ac:dyDescent="0.25">
      <c r="A147" s="1">
        <v>145</v>
      </c>
      <c r="B147" s="3">
        <f t="shared" ca="1" si="6"/>
        <v>0.51260317779997788</v>
      </c>
      <c r="C147" s="2">
        <f t="shared" ca="1" si="5"/>
        <v>8</v>
      </c>
    </row>
    <row r="148" spans="1:3" ht="14.5" x14ac:dyDescent="0.25">
      <c r="A148" s="1">
        <v>146</v>
      </c>
      <c r="B148" s="3">
        <f t="shared" ca="1" si="6"/>
        <v>0.32253022339155568</v>
      </c>
      <c r="C148" s="2">
        <f t="shared" ca="1" si="5"/>
        <v>7</v>
      </c>
    </row>
    <row r="149" spans="1:3" ht="14.5" x14ac:dyDescent="0.25">
      <c r="A149" s="1">
        <v>147</v>
      </c>
      <c r="B149" s="3">
        <f t="shared" ca="1" si="6"/>
        <v>0.59067429431461649</v>
      </c>
      <c r="C149" s="2">
        <f t="shared" ca="1" si="5"/>
        <v>8</v>
      </c>
    </row>
    <row r="150" spans="1:3" ht="14.5" x14ac:dyDescent="0.25">
      <c r="A150" s="1">
        <v>148</v>
      </c>
      <c r="B150" s="3">
        <f t="shared" ca="1" si="6"/>
        <v>0.81001204646230029</v>
      </c>
      <c r="C150" s="2">
        <f t="shared" ca="1" si="5"/>
        <v>10</v>
      </c>
    </row>
    <row r="151" spans="1:3" ht="14.5" x14ac:dyDescent="0.25">
      <c r="A151" s="1">
        <v>149</v>
      </c>
      <c r="B151" s="3">
        <f t="shared" ca="1" si="6"/>
        <v>0.50951263253467172</v>
      </c>
      <c r="C151" s="2">
        <f t="shared" ca="1" si="5"/>
        <v>8</v>
      </c>
    </row>
    <row r="152" spans="1:3" ht="14.5" x14ac:dyDescent="0.25">
      <c r="A152" s="1">
        <v>150</v>
      </c>
      <c r="B152" s="3">
        <f t="shared" ca="1" si="6"/>
        <v>0.45072131266939186</v>
      </c>
      <c r="C152" s="2">
        <f t="shared" ca="1" si="5"/>
        <v>8</v>
      </c>
    </row>
    <row r="153" spans="1:3" ht="14.5" x14ac:dyDescent="0.25">
      <c r="A153" s="1">
        <v>151</v>
      </c>
      <c r="B153" s="3">
        <f t="shared" ca="1" si="6"/>
        <v>0.2001819858417323</v>
      </c>
      <c r="C153" s="2">
        <f t="shared" ca="1" si="5"/>
        <v>6</v>
      </c>
    </row>
    <row r="154" spans="1:3" ht="14.5" x14ac:dyDescent="0.25">
      <c r="A154" s="1">
        <v>152</v>
      </c>
      <c r="B154" s="3">
        <f t="shared" ca="1" si="6"/>
        <v>0.34456987279664952</v>
      </c>
      <c r="C154" s="2">
        <f t="shared" ca="1" si="5"/>
        <v>7</v>
      </c>
    </row>
    <row r="155" spans="1:3" ht="14.5" x14ac:dyDescent="0.25">
      <c r="A155" s="1">
        <v>153</v>
      </c>
      <c r="B155" s="3">
        <f t="shared" ca="1" si="6"/>
        <v>0.44892610742113614</v>
      </c>
      <c r="C155" s="2">
        <f t="shared" ca="1" si="5"/>
        <v>8</v>
      </c>
    </row>
    <row r="156" spans="1:3" ht="14.5" x14ac:dyDescent="0.25">
      <c r="A156" s="1">
        <v>154</v>
      </c>
      <c r="B156" s="3">
        <f t="shared" ca="1" si="6"/>
        <v>0.22106656454627704</v>
      </c>
      <c r="C156" s="2">
        <f t="shared" ca="1" si="5"/>
        <v>6</v>
      </c>
    </row>
    <row r="157" spans="1:3" ht="14.5" x14ac:dyDescent="0.25">
      <c r="A157" s="1">
        <v>155</v>
      </c>
      <c r="B157" s="3">
        <f t="shared" ca="1" si="6"/>
        <v>0.84970004682201627</v>
      </c>
      <c r="C157" s="2">
        <f t="shared" ca="1" si="5"/>
        <v>10</v>
      </c>
    </row>
    <row r="158" spans="1:3" ht="14.5" x14ac:dyDescent="0.25">
      <c r="A158" s="1">
        <v>156</v>
      </c>
      <c r="B158" s="3">
        <f t="shared" ca="1" si="6"/>
        <v>0.16804521497933644</v>
      </c>
      <c r="C158" s="2">
        <f t="shared" ca="1" si="5"/>
        <v>6</v>
      </c>
    </row>
    <row r="159" spans="1:3" ht="14.5" x14ac:dyDescent="0.25">
      <c r="A159" s="1">
        <v>157</v>
      </c>
      <c r="B159" s="3">
        <f t="shared" ca="1" si="6"/>
        <v>0.49147963887723845</v>
      </c>
      <c r="C159" s="2">
        <f t="shared" ca="1" si="5"/>
        <v>8</v>
      </c>
    </row>
    <row r="160" spans="1:3" ht="14.5" x14ac:dyDescent="0.25">
      <c r="A160" s="1">
        <v>158</v>
      </c>
      <c r="B160" s="3">
        <f t="shared" ca="1" si="6"/>
        <v>0.10436835168412828</v>
      </c>
      <c r="C160" s="2">
        <f t="shared" ca="1" si="5"/>
        <v>5</v>
      </c>
    </row>
    <row r="161" spans="1:3" ht="14.5" x14ac:dyDescent="0.25">
      <c r="A161" s="1">
        <v>159</v>
      </c>
      <c r="B161" s="3">
        <f t="shared" ca="1" si="6"/>
        <v>0.11464538101193622</v>
      </c>
      <c r="C161" s="2">
        <f t="shared" ca="1" si="5"/>
        <v>6</v>
      </c>
    </row>
    <row r="162" spans="1:3" ht="14.5" x14ac:dyDescent="0.25">
      <c r="A162" s="1">
        <v>160</v>
      </c>
      <c r="B162" s="3">
        <f t="shared" ca="1" si="6"/>
        <v>0.13644721811451122</v>
      </c>
      <c r="C162" s="2">
        <f t="shared" ca="1" si="5"/>
        <v>6</v>
      </c>
    </row>
    <row r="163" spans="1:3" ht="14.5" x14ac:dyDescent="0.25">
      <c r="A163" s="1">
        <v>161</v>
      </c>
      <c r="B163" s="3">
        <f t="shared" ca="1" si="6"/>
        <v>0.48092239172135243</v>
      </c>
      <c r="C163" s="2">
        <f t="shared" ca="1" si="5"/>
        <v>8</v>
      </c>
    </row>
    <row r="164" spans="1:3" ht="14.5" x14ac:dyDescent="0.25">
      <c r="A164" s="1">
        <v>162</v>
      </c>
      <c r="B164" s="3">
        <f t="shared" ca="1" si="6"/>
        <v>0.29689112150538854</v>
      </c>
      <c r="C164" s="2">
        <f t="shared" ca="1" si="5"/>
        <v>7</v>
      </c>
    </row>
    <row r="165" spans="1:3" ht="14.5" x14ac:dyDescent="0.25">
      <c r="A165" s="1">
        <v>163</v>
      </c>
      <c r="B165" s="3">
        <f t="shared" ca="1" si="6"/>
        <v>0.41681900574440411</v>
      </c>
      <c r="C165" s="2">
        <f t="shared" ca="1" si="5"/>
        <v>8</v>
      </c>
    </row>
    <row r="166" spans="1:3" ht="14.5" x14ac:dyDescent="0.25">
      <c r="A166" s="1">
        <v>164</v>
      </c>
      <c r="B166" s="3">
        <f t="shared" ca="1" si="6"/>
        <v>0.55124063045415772</v>
      </c>
      <c r="C166" s="2">
        <f t="shared" ca="1" si="5"/>
        <v>8</v>
      </c>
    </row>
    <row r="167" spans="1:3" ht="14.5" x14ac:dyDescent="0.25">
      <c r="A167" s="1">
        <v>165</v>
      </c>
      <c r="B167" s="3">
        <f t="shared" ca="1" si="6"/>
        <v>0.62938599091362923</v>
      </c>
      <c r="C167" s="2">
        <f t="shared" ca="1" si="5"/>
        <v>9</v>
      </c>
    </row>
    <row r="168" spans="1:3" ht="14.5" x14ac:dyDescent="0.25">
      <c r="A168" s="1">
        <v>166</v>
      </c>
      <c r="B168" s="3">
        <f t="shared" ca="1" si="6"/>
        <v>0.78264889712782038</v>
      </c>
      <c r="C168" s="2">
        <f t="shared" ca="1" si="5"/>
        <v>10</v>
      </c>
    </row>
    <row r="169" spans="1:3" ht="14.5" x14ac:dyDescent="0.25">
      <c r="A169" s="1">
        <v>167</v>
      </c>
      <c r="B169" s="3">
        <f t="shared" ca="1" si="6"/>
        <v>0.26721381887772111</v>
      </c>
      <c r="C169" s="2">
        <f t="shared" ca="1" si="5"/>
        <v>7</v>
      </c>
    </row>
    <row r="170" spans="1:3" ht="14.5" x14ac:dyDescent="0.25">
      <c r="A170" s="1">
        <v>168</v>
      </c>
      <c r="B170" s="3">
        <f t="shared" ca="1" si="6"/>
        <v>0.24379744302886042</v>
      </c>
      <c r="C170" s="2">
        <f t="shared" ca="1" si="5"/>
        <v>7</v>
      </c>
    </row>
    <row r="171" spans="1:3" ht="14.5" x14ac:dyDescent="0.25">
      <c r="A171" s="1">
        <v>169</v>
      </c>
      <c r="B171" s="3">
        <f t="shared" ca="1" si="6"/>
        <v>0.87645111587103763</v>
      </c>
      <c r="C171" s="2">
        <f t="shared" ca="1" si="5"/>
        <v>10</v>
      </c>
    </row>
    <row r="172" spans="1:3" ht="14.5" x14ac:dyDescent="0.25">
      <c r="A172" s="1">
        <v>170</v>
      </c>
      <c r="B172" s="3">
        <f t="shared" ca="1" si="6"/>
        <v>0.15172836366237619</v>
      </c>
      <c r="C172" s="2">
        <f t="shared" ca="1" si="5"/>
        <v>6</v>
      </c>
    </row>
    <row r="173" spans="1:3" ht="14.5" x14ac:dyDescent="0.25">
      <c r="A173" s="1">
        <v>171</v>
      </c>
      <c r="B173" s="3">
        <f t="shared" ca="1" si="6"/>
        <v>0.95985832646980873</v>
      </c>
      <c r="C173" s="2">
        <f t="shared" ca="1" si="5"/>
        <v>11</v>
      </c>
    </row>
    <row r="174" spans="1:3" ht="14.5" x14ac:dyDescent="0.25">
      <c r="A174" s="1">
        <v>172</v>
      </c>
      <c r="B174" s="3">
        <f t="shared" ca="1" si="6"/>
        <v>0.60285294500774311</v>
      </c>
      <c r="C174" s="2">
        <f t="shared" ca="1" si="5"/>
        <v>9</v>
      </c>
    </row>
    <row r="175" spans="1:3" ht="14.5" x14ac:dyDescent="0.25">
      <c r="A175" s="1">
        <v>173</v>
      </c>
      <c r="B175" s="3">
        <f t="shared" ca="1" si="6"/>
        <v>0.76092017254988398</v>
      </c>
      <c r="C175" s="2">
        <f t="shared" ca="1" si="5"/>
        <v>9</v>
      </c>
    </row>
    <row r="176" spans="1:3" ht="14.5" x14ac:dyDescent="0.25">
      <c r="A176" s="1">
        <v>174</v>
      </c>
      <c r="B176" s="3">
        <f t="shared" ca="1" si="6"/>
        <v>0.12890356841158668</v>
      </c>
      <c r="C176" s="2">
        <f t="shared" ca="1" si="5"/>
        <v>6</v>
      </c>
    </row>
    <row r="177" spans="1:3" ht="14.5" x14ac:dyDescent="0.25">
      <c r="A177" s="1">
        <v>175</v>
      </c>
      <c r="B177" s="3">
        <f t="shared" ca="1" si="6"/>
        <v>0.14519466823593175</v>
      </c>
      <c r="C177" s="2">
        <f t="shared" ca="1" si="5"/>
        <v>6</v>
      </c>
    </row>
    <row r="178" spans="1:3" ht="14.5" x14ac:dyDescent="0.25">
      <c r="A178" s="1">
        <v>176</v>
      </c>
      <c r="B178" s="3">
        <f t="shared" ca="1" si="6"/>
        <v>1.2044318161533618E-2</v>
      </c>
      <c r="C178" s="2">
        <f t="shared" ca="1" si="5"/>
        <v>3</v>
      </c>
    </row>
    <row r="179" spans="1:3" ht="14.5" x14ac:dyDescent="0.25">
      <c r="A179" s="1">
        <v>177</v>
      </c>
      <c r="B179" s="3">
        <f t="shared" ca="1" si="6"/>
        <v>0.67793884688315909</v>
      </c>
      <c r="C179" s="2">
        <f t="shared" ca="1" si="5"/>
        <v>9</v>
      </c>
    </row>
    <row r="180" spans="1:3" ht="14.5" x14ac:dyDescent="0.25">
      <c r="A180" s="1">
        <v>178</v>
      </c>
      <c r="B180" s="3">
        <f t="shared" ca="1" si="6"/>
        <v>0.32834637952614332</v>
      </c>
      <c r="C180" s="2">
        <f t="shared" ca="1" si="5"/>
        <v>7</v>
      </c>
    </row>
    <row r="181" spans="1:3" ht="14.5" x14ac:dyDescent="0.25">
      <c r="A181" s="1">
        <v>179</v>
      </c>
      <c r="B181" s="3">
        <f t="shared" ca="1" si="6"/>
        <v>0.40267523796587856</v>
      </c>
      <c r="C181" s="2">
        <f t="shared" ca="1" si="5"/>
        <v>8</v>
      </c>
    </row>
    <row r="182" spans="1:3" ht="14.5" x14ac:dyDescent="0.25">
      <c r="A182" s="1">
        <v>180</v>
      </c>
      <c r="B182" s="3">
        <f t="shared" ca="1" si="6"/>
        <v>0.60156386309409859</v>
      </c>
      <c r="C182" s="2">
        <f t="shared" ca="1" si="5"/>
        <v>9</v>
      </c>
    </row>
    <row r="183" spans="1:3" ht="14.5" x14ac:dyDescent="0.25">
      <c r="A183" s="1">
        <v>181</v>
      </c>
      <c r="B183" s="3">
        <f t="shared" ca="1" si="6"/>
        <v>0.90057989211692391</v>
      </c>
      <c r="C183" s="2">
        <f t="shared" ca="1" si="5"/>
        <v>11</v>
      </c>
    </row>
    <row r="184" spans="1:3" ht="14.5" x14ac:dyDescent="0.25">
      <c r="A184" s="1">
        <v>182</v>
      </c>
      <c r="B184" s="3">
        <f t="shared" ca="1" si="6"/>
        <v>0.13039392440693764</v>
      </c>
      <c r="C184" s="2">
        <f t="shared" ca="1" si="5"/>
        <v>6</v>
      </c>
    </row>
    <row r="185" spans="1:3" ht="14.5" x14ac:dyDescent="0.25">
      <c r="A185" s="1">
        <v>183</v>
      </c>
      <c r="B185" s="3">
        <f t="shared" ca="1" si="6"/>
        <v>0.6917043350880967</v>
      </c>
      <c r="C185" s="2">
        <f t="shared" ca="1" si="5"/>
        <v>9</v>
      </c>
    </row>
    <row r="186" spans="1:3" ht="14.5" x14ac:dyDescent="0.25">
      <c r="A186" s="1">
        <v>184</v>
      </c>
      <c r="B186" s="3">
        <f t="shared" ca="1" si="6"/>
        <v>0.30144175174612675</v>
      </c>
      <c r="C186" s="2">
        <f t="shared" ca="1" si="5"/>
        <v>7</v>
      </c>
    </row>
    <row r="187" spans="1:3" ht="14.5" x14ac:dyDescent="0.25">
      <c r="A187" s="1">
        <v>185</v>
      </c>
      <c r="B187" s="3">
        <f t="shared" ca="1" si="6"/>
        <v>0.80919026221840273</v>
      </c>
      <c r="C187" s="2">
        <f t="shared" ca="1" si="5"/>
        <v>10</v>
      </c>
    </row>
    <row r="188" spans="1:3" ht="14.5" x14ac:dyDescent="0.25">
      <c r="A188" s="1">
        <v>186</v>
      </c>
      <c r="B188" s="3">
        <f t="shared" ca="1" si="6"/>
        <v>0.88796904213717098</v>
      </c>
      <c r="C188" s="2">
        <f t="shared" ca="1" si="5"/>
        <v>10</v>
      </c>
    </row>
    <row r="189" spans="1:3" ht="14.5" x14ac:dyDescent="0.25">
      <c r="A189" s="1">
        <v>187</v>
      </c>
      <c r="B189" s="3">
        <f t="shared" ca="1" si="6"/>
        <v>0.94327363290334409</v>
      </c>
      <c r="C189" s="2">
        <f t="shared" ca="1" si="5"/>
        <v>11</v>
      </c>
    </row>
    <row r="190" spans="1:3" ht="14.5" x14ac:dyDescent="0.25">
      <c r="A190" s="1">
        <v>188</v>
      </c>
      <c r="B190" s="3">
        <f t="shared" ca="1" si="6"/>
        <v>0.13185187697564438</v>
      </c>
      <c r="C190" s="2">
        <f t="shared" ca="1" si="5"/>
        <v>6</v>
      </c>
    </row>
    <row r="191" spans="1:3" ht="14.5" x14ac:dyDescent="0.25">
      <c r="A191" s="1">
        <v>189</v>
      </c>
      <c r="B191" s="3">
        <f t="shared" ca="1" si="6"/>
        <v>0.49169697956007674</v>
      </c>
      <c r="C191" s="2">
        <f t="shared" ca="1" si="5"/>
        <v>8</v>
      </c>
    </row>
    <row r="192" spans="1:3" ht="14.5" x14ac:dyDescent="0.25">
      <c r="A192" s="1">
        <v>190</v>
      </c>
      <c r="B192" s="3">
        <f t="shared" ca="1" si="6"/>
        <v>0.41264284165831056</v>
      </c>
      <c r="C192" s="2">
        <f t="shared" ca="1" si="5"/>
        <v>8</v>
      </c>
    </row>
    <row r="193" spans="1:3" ht="14.5" x14ac:dyDescent="0.25">
      <c r="A193" s="1">
        <v>191</v>
      </c>
      <c r="B193" s="3">
        <f t="shared" ca="1" si="6"/>
        <v>0.73470903758307959</v>
      </c>
      <c r="C193" s="2">
        <f t="shared" ca="1" si="5"/>
        <v>9</v>
      </c>
    </row>
    <row r="194" spans="1:3" ht="14.5" x14ac:dyDescent="0.25">
      <c r="A194" s="1">
        <v>192</v>
      </c>
      <c r="B194" s="3">
        <f t="shared" ca="1" si="6"/>
        <v>0.31518488112179233</v>
      </c>
      <c r="C194" s="2">
        <f t="shared" ca="1" si="5"/>
        <v>7</v>
      </c>
    </row>
    <row r="195" spans="1:3" ht="14.5" x14ac:dyDescent="0.25">
      <c r="A195" s="1">
        <v>193</v>
      </c>
      <c r="B195" s="3">
        <f t="shared" ca="1" si="6"/>
        <v>0.71589074623421489</v>
      </c>
      <c r="C195" s="2">
        <f t="shared" ca="1" si="5"/>
        <v>9</v>
      </c>
    </row>
    <row r="196" spans="1:3" ht="14.5" x14ac:dyDescent="0.25">
      <c r="A196" s="1">
        <v>194</v>
      </c>
      <c r="B196" s="3">
        <f t="shared" ca="1" si="6"/>
        <v>0.29131365768950579</v>
      </c>
      <c r="C196" s="2">
        <f t="shared" ref="C196:C259" ca="1" si="7">ROUND(_xlfn.NORM.INV(B196,$H$3,$I$3),0)</f>
        <v>7</v>
      </c>
    </row>
    <row r="197" spans="1:3" ht="14.5" x14ac:dyDescent="0.25">
      <c r="A197" s="1">
        <v>195</v>
      </c>
      <c r="B197" s="3">
        <f t="shared" ref="B197:B260" ca="1" si="8">RAND()</f>
        <v>9.2026366203867838E-2</v>
      </c>
      <c r="C197" s="2">
        <f t="shared" ca="1" si="7"/>
        <v>5</v>
      </c>
    </row>
    <row r="198" spans="1:3" ht="14.5" x14ac:dyDescent="0.25">
      <c r="A198" s="1">
        <v>196</v>
      </c>
      <c r="B198" s="3">
        <f t="shared" ca="1" si="8"/>
        <v>0.48449458323301153</v>
      </c>
      <c r="C198" s="2">
        <f t="shared" ca="1" si="7"/>
        <v>8</v>
      </c>
    </row>
    <row r="199" spans="1:3" ht="14.5" x14ac:dyDescent="0.25">
      <c r="A199" s="1">
        <v>197</v>
      </c>
      <c r="B199" s="3">
        <f t="shared" ca="1" si="8"/>
        <v>0.6208062951585821</v>
      </c>
      <c r="C199" s="2">
        <f t="shared" ca="1" si="7"/>
        <v>9</v>
      </c>
    </row>
    <row r="200" spans="1:3" ht="14.5" x14ac:dyDescent="0.25">
      <c r="A200" s="1">
        <v>198</v>
      </c>
      <c r="B200" s="3">
        <f t="shared" ca="1" si="8"/>
        <v>0.69152275817824715</v>
      </c>
      <c r="C200" s="2">
        <f t="shared" ca="1" si="7"/>
        <v>9</v>
      </c>
    </row>
    <row r="201" spans="1:3" ht="14.5" x14ac:dyDescent="0.25">
      <c r="A201" s="1">
        <v>199</v>
      </c>
      <c r="B201" s="3">
        <f t="shared" ca="1" si="8"/>
        <v>3.610273052659041E-3</v>
      </c>
      <c r="C201" s="2">
        <f t="shared" ca="1" si="7"/>
        <v>3</v>
      </c>
    </row>
    <row r="202" spans="1:3" ht="14.5" x14ac:dyDescent="0.25">
      <c r="A202" s="1">
        <v>200</v>
      </c>
      <c r="B202" s="3">
        <f t="shared" ca="1" si="8"/>
        <v>0.29769479573687085</v>
      </c>
      <c r="C202" s="2">
        <f t="shared" ca="1" si="7"/>
        <v>7</v>
      </c>
    </row>
    <row r="203" spans="1:3" ht="14.5" x14ac:dyDescent="0.25">
      <c r="A203" s="1">
        <v>201</v>
      </c>
      <c r="B203" s="3">
        <f t="shared" ca="1" si="8"/>
        <v>0.51470986259087159</v>
      </c>
      <c r="C203" s="2">
        <f t="shared" ca="1" si="7"/>
        <v>8</v>
      </c>
    </row>
    <row r="204" spans="1:3" ht="14.5" x14ac:dyDescent="0.25">
      <c r="A204" s="1">
        <v>202</v>
      </c>
      <c r="B204" s="3">
        <f t="shared" ca="1" si="8"/>
        <v>0.36045500473456427</v>
      </c>
      <c r="C204" s="2">
        <f t="shared" ca="1" si="7"/>
        <v>7</v>
      </c>
    </row>
    <row r="205" spans="1:3" ht="14.5" x14ac:dyDescent="0.25">
      <c r="A205" s="1">
        <v>203</v>
      </c>
      <c r="B205" s="3">
        <f t="shared" ca="1" si="8"/>
        <v>0.49109051665566905</v>
      </c>
      <c r="C205" s="2">
        <f t="shared" ca="1" si="7"/>
        <v>8</v>
      </c>
    </row>
    <row r="206" spans="1:3" ht="14.5" x14ac:dyDescent="0.25">
      <c r="A206" s="1">
        <v>204</v>
      </c>
      <c r="B206" s="3">
        <f t="shared" ca="1" si="8"/>
        <v>0.15303477580625058</v>
      </c>
      <c r="C206" s="2">
        <f t="shared" ca="1" si="7"/>
        <v>6</v>
      </c>
    </row>
    <row r="207" spans="1:3" ht="14.5" x14ac:dyDescent="0.25">
      <c r="A207" s="1">
        <v>205</v>
      </c>
      <c r="B207" s="3">
        <f t="shared" ca="1" si="8"/>
        <v>9.418580008042543E-2</v>
      </c>
      <c r="C207" s="2">
        <f t="shared" ca="1" si="7"/>
        <v>5</v>
      </c>
    </row>
    <row r="208" spans="1:3" ht="14.5" x14ac:dyDescent="0.25">
      <c r="A208" s="1">
        <v>206</v>
      </c>
      <c r="B208" s="3">
        <f t="shared" ca="1" si="8"/>
        <v>0.49359929271414482</v>
      </c>
      <c r="C208" s="2">
        <f t="shared" ca="1" si="7"/>
        <v>8</v>
      </c>
    </row>
    <row r="209" spans="1:3" ht="14.5" x14ac:dyDescent="0.25">
      <c r="A209" s="1">
        <v>207</v>
      </c>
      <c r="B209" s="3">
        <f t="shared" ca="1" si="8"/>
        <v>0.2714504727655267</v>
      </c>
      <c r="C209" s="2">
        <f t="shared" ca="1" si="7"/>
        <v>7</v>
      </c>
    </row>
    <row r="210" spans="1:3" ht="14.5" x14ac:dyDescent="0.25">
      <c r="A210" s="1">
        <v>208</v>
      </c>
      <c r="B210" s="3">
        <f t="shared" ca="1" si="8"/>
        <v>0.4307368616548185</v>
      </c>
      <c r="C210" s="2">
        <f t="shared" ca="1" si="7"/>
        <v>8</v>
      </c>
    </row>
    <row r="211" spans="1:3" ht="14.5" x14ac:dyDescent="0.25">
      <c r="A211" s="1">
        <v>209</v>
      </c>
      <c r="B211" s="3">
        <f t="shared" ca="1" si="8"/>
        <v>0.16034273686141753</v>
      </c>
      <c r="C211" s="2">
        <f t="shared" ca="1" si="7"/>
        <v>6</v>
      </c>
    </row>
    <row r="212" spans="1:3" ht="14.5" x14ac:dyDescent="0.25">
      <c r="A212" s="1">
        <v>210</v>
      </c>
      <c r="B212" s="3">
        <f t="shared" ca="1" si="8"/>
        <v>0.3136638542717588</v>
      </c>
      <c r="C212" s="2">
        <f t="shared" ca="1" si="7"/>
        <v>7</v>
      </c>
    </row>
    <row r="213" spans="1:3" ht="14.5" x14ac:dyDescent="0.25">
      <c r="A213" s="1">
        <v>211</v>
      </c>
      <c r="B213" s="3">
        <f t="shared" ca="1" si="8"/>
        <v>0.43847783936770113</v>
      </c>
      <c r="C213" s="2">
        <f t="shared" ca="1" si="7"/>
        <v>8</v>
      </c>
    </row>
    <row r="214" spans="1:3" ht="14.5" x14ac:dyDescent="0.25">
      <c r="A214" s="1">
        <v>212</v>
      </c>
      <c r="B214" s="3">
        <f t="shared" ca="1" si="8"/>
        <v>0.71141466195430847</v>
      </c>
      <c r="C214" s="2">
        <f t="shared" ca="1" si="7"/>
        <v>9</v>
      </c>
    </row>
    <row r="215" spans="1:3" ht="14.5" x14ac:dyDescent="0.25">
      <c r="A215" s="1">
        <v>213</v>
      </c>
      <c r="B215" s="3">
        <f t="shared" ca="1" si="8"/>
        <v>0.5679336427610604</v>
      </c>
      <c r="C215" s="2">
        <f t="shared" ca="1" si="7"/>
        <v>8</v>
      </c>
    </row>
    <row r="216" spans="1:3" ht="14.5" x14ac:dyDescent="0.25">
      <c r="A216" s="1">
        <v>214</v>
      </c>
      <c r="B216" s="3">
        <f t="shared" ca="1" si="8"/>
        <v>0.82415152921373336</v>
      </c>
      <c r="C216" s="2">
        <f t="shared" ca="1" si="7"/>
        <v>10</v>
      </c>
    </row>
    <row r="217" spans="1:3" ht="14.5" x14ac:dyDescent="0.25">
      <c r="A217" s="1">
        <v>215</v>
      </c>
      <c r="B217" s="3">
        <f t="shared" ca="1" si="8"/>
        <v>7.6492571273540366E-2</v>
      </c>
      <c r="C217" s="2">
        <f t="shared" ca="1" si="7"/>
        <v>5</v>
      </c>
    </row>
    <row r="218" spans="1:3" ht="14.5" x14ac:dyDescent="0.25">
      <c r="A218" s="1">
        <v>216</v>
      </c>
      <c r="B218" s="3">
        <f t="shared" ca="1" si="8"/>
        <v>0.19461343091226779</v>
      </c>
      <c r="C218" s="2">
        <f t="shared" ca="1" si="7"/>
        <v>6</v>
      </c>
    </row>
    <row r="219" spans="1:3" ht="14.5" x14ac:dyDescent="0.25">
      <c r="A219" s="1">
        <v>217</v>
      </c>
      <c r="B219" s="3">
        <f t="shared" ca="1" si="8"/>
        <v>0.60232983482414337</v>
      </c>
      <c r="C219" s="2">
        <f t="shared" ca="1" si="7"/>
        <v>9</v>
      </c>
    </row>
    <row r="220" spans="1:3" ht="14.5" x14ac:dyDescent="0.25">
      <c r="A220" s="1">
        <v>218</v>
      </c>
      <c r="B220" s="3">
        <f t="shared" ca="1" si="8"/>
        <v>5.953812430883354E-2</v>
      </c>
      <c r="C220" s="2">
        <f t="shared" ca="1" si="7"/>
        <v>5</v>
      </c>
    </row>
    <row r="221" spans="1:3" ht="14.5" x14ac:dyDescent="0.25">
      <c r="A221" s="1">
        <v>219</v>
      </c>
      <c r="B221" s="3">
        <f t="shared" ca="1" si="8"/>
        <v>0.30682914248052817</v>
      </c>
      <c r="C221" s="2">
        <f t="shared" ca="1" si="7"/>
        <v>7</v>
      </c>
    </row>
    <row r="222" spans="1:3" ht="14.5" x14ac:dyDescent="0.25">
      <c r="A222" s="1">
        <v>220</v>
      </c>
      <c r="B222" s="3">
        <f t="shared" ca="1" si="8"/>
        <v>0.23625180058578954</v>
      </c>
      <c r="C222" s="2">
        <f t="shared" ca="1" si="7"/>
        <v>7</v>
      </c>
    </row>
    <row r="223" spans="1:3" ht="14.5" x14ac:dyDescent="0.25">
      <c r="A223" s="1">
        <v>221</v>
      </c>
      <c r="B223" s="3">
        <f t="shared" ca="1" si="8"/>
        <v>0.21907401465100973</v>
      </c>
      <c r="C223" s="2">
        <f t="shared" ca="1" si="7"/>
        <v>6</v>
      </c>
    </row>
    <row r="224" spans="1:3" ht="14.5" x14ac:dyDescent="0.25">
      <c r="A224" s="1">
        <v>222</v>
      </c>
      <c r="B224" s="3">
        <f t="shared" ca="1" si="8"/>
        <v>0.1641568750093847</v>
      </c>
      <c r="C224" s="2">
        <f t="shared" ca="1" si="7"/>
        <v>6</v>
      </c>
    </row>
    <row r="225" spans="1:3" ht="14.5" x14ac:dyDescent="0.25">
      <c r="A225" s="1">
        <v>223</v>
      </c>
      <c r="B225" s="3">
        <f t="shared" ca="1" si="8"/>
        <v>0.38647537054023773</v>
      </c>
      <c r="C225" s="2">
        <f t="shared" ca="1" si="7"/>
        <v>7</v>
      </c>
    </row>
    <row r="226" spans="1:3" ht="14.5" x14ac:dyDescent="0.25">
      <c r="A226" s="1">
        <v>224</v>
      </c>
      <c r="B226" s="3">
        <f t="shared" ca="1" si="8"/>
        <v>0.51170746087959784</v>
      </c>
      <c r="C226" s="2">
        <f t="shared" ca="1" si="7"/>
        <v>8</v>
      </c>
    </row>
    <row r="227" spans="1:3" ht="14.5" x14ac:dyDescent="0.25">
      <c r="A227" s="1">
        <v>225</v>
      </c>
      <c r="B227" s="3">
        <f t="shared" ca="1" si="8"/>
        <v>0.74299326456951398</v>
      </c>
      <c r="C227" s="2">
        <f t="shared" ca="1" si="7"/>
        <v>9</v>
      </c>
    </row>
    <row r="228" spans="1:3" ht="14.5" x14ac:dyDescent="0.25">
      <c r="A228" s="1">
        <v>226</v>
      </c>
      <c r="B228" s="3">
        <f t="shared" ca="1" si="8"/>
        <v>8.6934469455349217E-2</v>
      </c>
      <c r="C228" s="2">
        <f t="shared" ca="1" si="7"/>
        <v>5</v>
      </c>
    </row>
    <row r="229" spans="1:3" ht="14.5" x14ac:dyDescent="0.25">
      <c r="A229" s="1">
        <v>227</v>
      </c>
      <c r="B229" s="3">
        <f t="shared" ca="1" si="8"/>
        <v>0.12805746095630233</v>
      </c>
      <c r="C229" s="2">
        <f t="shared" ca="1" si="7"/>
        <v>6</v>
      </c>
    </row>
    <row r="230" spans="1:3" ht="14.5" x14ac:dyDescent="0.25">
      <c r="A230" s="1">
        <v>228</v>
      </c>
      <c r="B230" s="3">
        <f t="shared" ca="1" si="8"/>
        <v>0.89867660283719841</v>
      </c>
      <c r="C230" s="2">
        <f t="shared" ca="1" si="7"/>
        <v>11</v>
      </c>
    </row>
    <row r="231" spans="1:3" ht="14.5" x14ac:dyDescent="0.25">
      <c r="A231" s="1">
        <v>229</v>
      </c>
      <c r="B231" s="3">
        <f t="shared" ca="1" si="8"/>
        <v>0.22896387051395473</v>
      </c>
      <c r="C231" s="2">
        <f t="shared" ca="1" si="7"/>
        <v>7</v>
      </c>
    </row>
    <row r="232" spans="1:3" ht="14.5" x14ac:dyDescent="0.25">
      <c r="A232" s="1">
        <v>230</v>
      </c>
      <c r="B232" s="3">
        <f t="shared" ca="1" si="8"/>
        <v>0.67575153996133142</v>
      </c>
      <c r="C232" s="2">
        <f t="shared" ca="1" si="7"/>
        <v>9</v>
      </c>
    </row>
    <row r="233" spans="1:3" ht="14.5" x14ac:dyDescent="0.25">
      <c r="A233" s="1">
        <v>231</v>
      </c>
      <c r="B233" s="3">
        <f t="shared" ca="1" si="8"/>
        <v>0.5037191358469264</v>
      </c>
      <c r="C233" s="2">
        <f t="shared" ca="1" si="7"/>
        <v>8</v>
      </c>
    </row>
    <row r="234" spans="1:3" ht="14.5" x14ac:dyDescent="0.25">
      <c r="A234" s="1">
        <v>232</v>
      </c>
      <c r="B234" s="3">
        <f t="shared" ca="1" si="8"/>
        <v>0.47186537041032506</v>
      </c>
      <c r="C234" s="2">
        <f t="shared" ca="1" si="7"/>
        <v>8</v>
      </c>
    </row>
    <row r="235" spans="1:3" ht="14.5" x14ac:dyDescent="0.25">
      <c r="A235" s="1">
        <v>233</v>
      </c>
      <c r="B235" s="3">
        <f t="shared" ca="1" si="8"/>
        <v>0.62168305570400573</v>
      </c>
      <c r="C235" s="2">
        <f t="shared" ca="1" si="7"/>
        <v>9</v>
      </c>
    </row>
    <row r="236" spans="1:3" ht="14.5" x14ac:dyDescent="0.25">
      <c r="A236" s="1">
        <v>234</v>
      </c>
      <c r="B236" s="3">
        <f t="shared" ca="1" si="8"/>
        <v>0.1433636815757201</v>
      </c>
      <c r="C236" s="2">
        <f t="shared" ca="1" si="7"/>
        <v>6</v>
      </c>
    </row>
    <row r="237" spans="1:3" ht="14.5" x14ac:dyDescent="0.25">
      <c r="A237" s="1">
        <v>235</v>
      </c>
      <c r="B237" s="3">
        <f t="shared" ca="1" si="8"/>
        <v>8.5082013134800683E-2</v>
      </c>
      <c r="C237" s="2">
        <f t="shared" ca="1" si="7"/>
        <v>5</v>
      </c>
    </row>
    <row r="238" spans="1:3" ht="14.5" x14ac:dyDescent="0.25">
      <c r="A238" s="1">
        <v>236</v>
      </c>
      <c r="B238" s="3">
        <f t="shared" ca="1" si="8"/>
        <v>0.24528274036100495</v>
      </c>
      <c r="C238" s="2">
        <f t="shared" ca="1" si="7"/>
        <v>7</v>
      </c>
    </row>
    <row r="239" spans="1:3" ht="14.5" x14ac:dyDescent="0.25">
      <c r="A239" s="1">
        <v>237</v>
      </c>
      <c r="B239" s="3">
        <f t="shared" ca="1" si="8"/>
        <v>0.38435918987554074</v>
      </c>
      <c r="C239" s="2">
        <f t="shared" ca="1" si="7"/>
        <v>7</v>
      </c>
    </row>
    <row r="240" spans="1:3" ht="14.5" x14ac:dyDescent="0.25">
      <c r="A240" s="1">
        <v>238</v>
      </c>
      <c r="B240" s="3">
        <f t="shared" ca="1" si="8"/>
        <v>0.34888374006091039</v>
      </c>
      <c r="C240" s="2">
        <f t="shared" ca="1" si="7"/>
        <v>7</v>
      </c>
    </row>
    <row r="241" spans="1:3" ht="14.5" x14ac:dyDescent="0.25">
      <c r="A241" s="1">
        <v>239</v>
      </c>
      <c r="B241" s="3">
        <f t="shared" ca="1" si="8"/>
        <v>2.1196319307553502E-2</v>
      </c>
      <c r="C241" s="2">
        <f t="shared" ca="1" si="7"/>
        <v>4</v>
      </c>
    </row>
    <row r="242" spans="1:3" ht="14.5" x14ac:dyDescent="0.25">
      <c r="A242" s="1">
        <v>240</v>
      </c>
      <c r="B242" s="3">
        <f t="shared" ca="1" si="8"/>
        <v>1.7921086320173085E-2</v>
      </c>
      <c r="C242" s="2">
        <f t="shared" ca="1" si="7"/>
        <v>4</v>
      </c>
    </row>
    <row r="243" spans="1:3" ht="14.5" x14ac:dyDescent="0.25">
      <c r="A243" s="1">
        <v>241</v>
      </c>
      <c r="B243" s="3">
        <f t="shared" ca="1" si="8"/>
        <v>7.2317042045533131E-2</v>
      </c>
      <c r="C243" s="2">
        <f t="shared" ca="1" si="7"/>
        <v>5</v>
      </c>
    </row>
    <row r="244" spans="1:3" ht="14.5" x14ac:dyDescent="0.25">
      <c r="A244" s="1">
        <v>242</v>
      </c>
      <c r="B244" s="3">
        <f t="shared" ca="1" si="8"/>
        <v>0.40126296401035444</v>
      </c>
      <c r="C244" s="2">
        <f t="shared" ca="1" si="7"/>
        <v>7</v>
      </c>
    </row>
    <row r="245" spans="1:3" ht="14.5" x14ac:dyDescent="0.25">
      <c r="A245" s="1">
        <v>243</v>
      </c>
      <c r="B245" s="3">
        <f t="shared" ca="1" si="8"/>
        <v>0.40552455529019826</v>
      </c>
      <c r="C245" s="2">
        <f t="shared" ca="1" si="7"/>
        <v>8</v>
      </c>
    </row>
    <row r="246" spans="1:3" ht="14.5" x14ac:dyDescent="0.25">
      <c r="A246" s="1">
        <v>244</v>
      </c>
      <c r="B246" s="3">
        <f t="shared" ca="1" si="8"/>
        <v>0.1735961265946846</v>
      </c>
      <c r="C246" s="2">
        <f t="shared" ca="1" si="7"/>
        <v>6</v>
      </c>
    </row>
    <row r="247" spans="1:3" ht="14.5" x14ac:dyDescent="0.25">
      <c r="A247" s="1">
        <v>245</v>
      </c>
      <c r="B247" s="3">
        <f t="shared" ca="1" si="8"/>
        <v>0.63228682577098383</v>
      </c>
      <c r="C247" s="2">
        <f t="shared" ca="1" si="7"/>
        <v>9</v>
      </c>
    </row>
    <row r="248" spans="1:3" ht="14.5" x14ac:dyDescent="0.25">
      <c r="A248" s="1">
        <v>246</v>
      </c>
      <c r="B248" s="3">
        <f t="shared" ca="1" si="8"/>
        <v>7.0031113334474537E-2</v>
      </c>
      <c r="C248" s="2">
        <f t="shared" ca="1" si="7"/>
        <v>5</v>
      </c>
    </row>
    <row r="249" spans="1:3" ht="14.5" x14ac:dyDescent="0.25">
      <c r="A249" s="1">
        <v>247</v>
      </c>
      <c r="B249" s="3">
        <f t="shared" ca="1" si="8"/>
        <v>2.3706228683242792E-2</v>
      </c>
      <c r="C249" s="2">
        <f t="shared" ca="1" si="7"/>
        <v>4</v>
      </c>
    </row>
    <row r="250" spans="1:3" ht="14.5" x14ac:dyDescent="0.25">
      <c r="A250" s="1">
        <v>248</v>
      </c>
      <c r="B250" s="3">
        <f t="shared" ca="1" si="8"/>
        <v>0.1839696122178327</v>
      </c>
      <c r="C250" s="2">
        <f t="shared" ca="1" si="7"/>
        <v>6</v>
      </c>
    </row>
    <row r="251" spans="1:3" ht="14.5" x14ac:dyDescent="0.25">
      <c r="A251" s="1">
        <v>249</v>
      </c>
      <c r="B251" s="3">
        <f t="shared" ca="1" si="8"/>
        <v>0.93306171705045571</v>
      </c>
      <c r="C251" s="2">
        <f t="shared" ca="1" si="7"/>
        <v>11</v>
      </c>
    </row>
    <row r="252" spans="1:3" ht="14.5" x14ac:dyDescent="0.25">
      <c r="A252" s="1">
        <v>250</v>
      </c>
      <c r="B252" s="3">
        <f t="shared" ca="1" si="8"/>
        <v>0.25779071905284645</v>
      </c>
      <c r="C252" s="2">
        <f t="shared" ca="1" si="7"/>
        <v>7</v>
      </c>
    </row>
    <row r="253" spans="1:3" ht="14.5" x14ac:dyDescent="0.25">
      <c r="A253" s="1">
        <v>251</v>
      </c>
      <c r="B253" s="3">
        <f t="shared" ca="1" si="8"/>
        <v>0.38547607838058184</v>
      </c>
      <c r="C253" s="2">
        <f t="shared" ca="1" si="7"/>
        <v>7</v>
      </c>
    </row>
    <row r="254" spans="1:3" ht="14.5" x14ac:dyDescent="0.25">
      <c r="A254" s="1">
        <v>252</v>
      </c>
      <c r="B254" s="3">
        <f t="shared" ca="1" si="8"/>
        <v>0.84051021094992762</v>
      </c>
      <c r="C254" s="2">
        <f t="shared" ca="1" si="7"/>
        <v>10</v>
      </c>
    </row>
    <row r="255" spans="1:3" ht="14.5" x14ac:dyDescent="0.25">
      <c r="A255" s="1">
        <v>253</v>
      </c>
      <c r="B255" s="3">
        <f t="shared" ca="1" si="8"/>
        <v>0.54234301846235666</v>
      </c>
      <c r="C255" s="2">
        <f t="shared" ca="1" si="7"/>
        <v>8</v>
      </c>
    </row>
    <row r="256" spans="1:3" ht="14.5" x14ac:dyDescent="0.25">
      <c r="A256" s="1">
        <v>254</v>
      </c>
      <c r="B256" s="3">
        <f t="shared" ca="1" si="8"/>
        <v>0.27591709155894217</v>
      </c>
      <c r="C256" s="2">
        <f t="shared" ca="1" si="7"/>
        <v>7</v>
      </c>
    </row>
    <row r="257" spans="1:3" ht="14.5" x14ac:dyDescent="0.25">
      <c r="A257" s="1">
        <v>255</v>
      </c>
      <c r="B257" s="3">
        <f t="shared" ca="1" si="8"/>
        <v>0.83846199199939409</v>
      </c>
      <c r="C257" s="2">
        <f t="shared" ca="1" si="7"/>
        <v>10</v>
      </c>
    </row>
    <row r="258" spans="1:3" ht="14.5" x14ac:dyDescent="0.25">
      <c r="A258" s="1">
        <v>256</v>
      </c>
      <c r="B258" s="3">
        <f t="shared" ca="1" si="8"/>
        <v>0.35934438312031525</v>
      </c>
      <c r="C258" s="2">
        <f t="shared" ca="1" si="7"/>
        <v>7</v>
      </c>
    </row>
    <row r="259" spans="1:3" ht="14.5" x14ac:dyDescent="0.25">
      <c r="A259" s="1">
        <v>257</v>
      </c>
      <c r="B259" s="3">
        <f t="shared" ca="1" si="8"/>
        <v>0.56538043922625647</v>
      </c>
      <c r="C259" s="2">
        <f t="shared" ca="1" si="7"/>
        <v>8</v>
      </c>
    </row>
    <row r="260" spans="1:3" ht="14.5" x14ac:dyDescent="0.25">
      <c r="A260" s="1">
        <v>258</v>
      </c>
      <c r="B260" s="3">
        <f t="shared" ca="1" si="8"/>
        <v>7.6264673289283547E-2</v>
      </c>
      <c r="C260" s="2">
        <f t="shared" ref="C260:C323" ca="1" si="9">ROUND(_xlfn.NORM.INV(B260,$H$3,$I$3),0)</f>
        <v>5</v>
      </c>
    </row>
    <row r="261" spans="1:3" ht="14.5" x14ac:dyDescent="0.25">
      <c r="A261" s="1">
        <v>259</v>
      </c>
      <c r="B261" s="3">
        <f t="shared" ref="B261:B324" ca="1" si="10">RAND()</f>
        <v>0.55723901754892857</v>
      </c>
      <c r="C261" s="2">
        <f t="shared" ca="1" si="9"/>
        <v>8</v>
      </c>
    </row>
    <row r="262" spans="1:3" ht="14.5" x14ac:dyDescent="0.25">
      <c r="A262" s="1">
        <v>260</v>
      </c>
      <c r="B262" s="3">
        <f t="shared" ca="1" si="10"/>
        <v>8.2969625038292305E-2</v>
      </c>
      <c r="C262" s="2">
        <f t="shared" ca="1" si="9"/>
        <v>5</v>
      </c>
    </row>
    <row r="263" spans="1:3" ht="14.5" x14ac:dyDescent="0.25">
      <c r="A263" s="1">
        <v>261</v>
      </c>
      <c r="B263" s="3">
        <f t="shared" ca="1" si="10"/>
        <v>0.29831781891329989</v>
      </c>
      <c r="C263" s="2">
        <f t="shared" ca="1" si="9"/>
        <v>7</v>
      </c>
    </row>
    <row r="264" spans="1:3" ht="14.5" x14ac:dyDescent="0.25">
      <c r="A264" s="1">
        <v>262</v>
      </c>
      <c r="B264" s="3">
        <f t="shared" ca="1" si="10"/>
        <v>0.44397586640769549</v>
      </c>
      <c r="C264" s="2">
        <f t="shared" ca="1" si="9"/>
        <v>8</v>
      </c>
    </row>
    <row r="265" spans="1:3" ht="14.5" x14ac:dyDescent="0.25">
      <c r="A265" s="1">
        <v>263</v>
      </c>
      <c r="B265" s="3">
        <f t="shared" ca="1" si="10"/>
        <v>0.94432284071546746</v>
      </c>
      <c r="C265" s="2">
        <f t="shared" ca="1" si="9"/>
        <v>11</v>
      </c>
    </row>
    <row r="266" spans="1:3" ht="14.5" x14ac:dyDescent="0.25">
      <c r="A266" s="1">
        <v>264</v>
      </c>
      <c r="B266" s="3">
        <f t="shared" ca="1" si="10"/>
        <v>0.40635659497102483</v>
      </c>
      <c r="C266" s="2">
        <f t="shared" ca="1" si="9"/>
        <v>8</v>
      </c>
    </row>
    <row r="267" spans="1:3" ht="14.5" x14ac:dyDescent="0.25">
      <c r="A267" s="1">
        <v>265</v>
      </c>
      <c r="B267" s="3">
        <f t="shared" ca="1" si="10"/>
        <v>0.3653947352859126</v>
      </c>
      <c r="C267" s="2">
        <f t="shared" ca="1" si="9"/>
        <v>7</v>
      </c>
    </row>
    <row r="268" spans="1:3" ht="14.5" x14ac:dyDescent="0.25">
      <c r="A268" s="1">
        <v>266</v>
      </c>
      <c r="B268" s="3">
        <f t="shared" ca="1" si="10"/>
        <v>0.4796820049204964</v>
      </c>
      <c r="C268" s="2">
        <f t="shared" ca="1" si="9"/>
        <v>8</v>
      </c>
    </row>
    <row r="269" spans="1:3" ht="14.5" x14ac:dyDescent="0.25">
      <c r="A269" s="1">
        <v>267</v>
      </c>
      <c r="B269" s="3">
        <f t="shared" ca="1" si="10"/>
        <v>0.94341509426558545</v>
      </c>
      <c r="C269" s="2">
        <f t="shared" ca="1" si="9"/>
        <v>11</v>
      </c>
    </row>
    <row r="270" spans="1:3" ht="14.5" x14ac:dyDescent="0.25">
      <c r="A270" s="1">
        <v>268</v>
      </c>
      <c r="B270" s="3">
        <f t="shared" ca="1" si="10"/>
        <v>0.98751975704254114</v>
      </c>
      <c r="C270" s="2">
        <f t="shared" ca="1" si="9"/>
        <v>12</v>
      </c>
    </row>
    <row r="271" spans="1:3" ht="14.5" x14ac:dyDescent="0.25">
      <c r="A271" s="1">
        <v>269</v>
      </c>
      <c r="B271" s="3">
        <f t="shared" ca="1" si="10"/>
        <v>0.30786037171898029</v>
      </c>
      <c r="C271" s="2">
        <f t="shared" ca="1" si="9"/>
        <v>7</v>
      </c>
    </row>
    <row r="272" spans="1:3" ht="14.5" x14ac:dyDescent="0.25">
      <c r="A272" s="1">
        <v>270</v>
      </c>
      <c r="B272" s="3">
        <f t="shared" ca="1" si="10"/>
        <v>0.70005364045256313</v>
      </c>
      <c r="C272" s="2">
        <f t="shared" ca="1" si="9"/>
        <v>9</v>
      </c>
    </row>
    <row r="273" spans="1:3" ht="14.5" x14ac:dyDescent="0.25">
      <c r="A273" s="1">
        <v>271</v>
      </c>
      <c r="B273" s="3">
        <f t="shared" ca="1" si="10"/>
        <v>0.75587238293257197</v>
      </c>
      <c r="C273" s="2">
        <f t="shared" ca="1" si="9"/>
        <v>9</v>
      </c>
    </row>
    <row r="274" spans="1:3" ht="14.5" x14ac:dyDescent="0.25">
      <c r="A274" s="1">
        <v>272</v>
      </c>
      <c r="B274" s="3">
        <f t="shared" ca="1" si="10"/>
        <v>4.120053372784438E-2</v>
      </c>
      <c r="C274" s="2">
        <f t="shared" ca="1" si="9"/>
        <v>5</v>
      </c>
    </row>
    <row r="275" spans="1:3" ht="14.5" x14ac:dyDescent="0.25">
      <c r="A275" s="1">
        <v>273</v>
      </c>
      <c r="B275" s="3">
        <f t="shared" ca="1" si="10"/>
        <v>3.7392589617232463E-2</v>
      </c>
      <c r="C275" s="2">
        <f t="shared" ca="1" si="9"/>
        <v>4</v>
      </c>
    </row>
    <row r="276" spans="1:3" ht="14.5" x14ac:dyDescent="0.25">
      <c r="A276" s="1">
        <v>274</v>
      </c>
      <c r="B276" s="3">
        <f t="shared" ca="1" si="10"/>
        <v>0.23434152819414966</v>
      </c>
      <c r="C276" s="2">
        <f t="shared" ca="1" si="9"/>
        <v>7</v>
      </c>
    </row>
    <row r="277" spans="1:3" ht="14.5" x14ac:dyDescent="0.25">
      <c r="A277" s="1">
        <v>275</v>
      </c>
      <c r="B277" s="3">
        <f t="shared" ca="1" si="10"/>
        <v>0.36410738600791259</v>
      </c>
      <c r="C277" s="2">
        <f t="shared" ca="1" si="9"/>
        <v>7</v>
      </c>
    </row>
    <row r="278" spans="1:3" ht="14.5" x14ac:dyDescent="0.25">
      <c r="A278" s="1">
        <v>276</v>
      </c>
      <c r="B278" s="3">
        <f t="shared" ca="1" si="10"/>
        <v>0.48331645681444002</v>
      </c>
      <c r="C278" s="2">
        <f t="shared" ca="1" si="9"/>
        <v>8</v>
      </c>
    </row>
    <row r="279" spans="1:3" ht="14.5" x14ac:dyDescent="0.25">
      <c r="A279" s="1">
        <v>277</v>
      </c>
      <c r="B279" s="3">
        <f t="shared" ca="1" si="10"/>
        <v>0.4794744475451439</v>
      </c>
      <c r="C279" s="2">
        <f t="shared" ca="1" si="9"/>
        <v>8</v>
      </c>
    </row>
    <row r="280" spans="1:3" ht="14.5" x14ac:dyDescent="0.25">
      <c r="A280" s="1">
        <v>278</v>
      </c>
      <c r="B280" s="3">
        <f t="shared" ca="1" si="10"/>
        <v>0.40954329727090566</v>
      </c>
      <c r="C280" s="2">
        <f t="shared" ca="1" si="9"/>
        <v>8</v>
      </c>
    </row>
    <row r="281" spans="1:3" ht="14.5" x14ac:dyDescent="0.25">
      <c r="A281" s="1">
        <v>279</v>
      </c>
      <c r="B281" s="3">
        <f t="shared" ca="1" si="10"/>
        <v>8.8014933241177484E-2</v>
      </c>
      <c r="C281" s="2">
        <f t="shared" ca="1" si="9"/>
        <v>5</v>
      </c>
    </row>
    <row r="282" spans="1:3" ht="14.5" x14ac:dyDescent="0.25">
      <c r="A282" s="1">
        <v>280</v>
      </c>
      <c r="B282" s="3">
        <f t="shared" ca="1" si="10"/>
        <v>0.27195236594612626</v>
      </c>
      <c r="C282" s="2">
        <f t="shared" ca="1" si="9"/>
        <v>7</v>
      </c>
    </row>
    <row r="283" spans="1:3" ht="14.5" x14ac:dyDescent="0.25">
      <c r="A283" s="1">
        <v>281</v>
      </c>
      <c r="B283" s="3">
        <f t="shared" ca="1" si="10"/>
        <v>0.46250757051297353</v>
      </c>
      <c r="C283" s="2">
        <f t="shared" ca="1" si="9"/>
        <v>8</v>
      </c>
    </row>
    <row r="284" spans="1:3" ht="14.5" x14ac:dyDescent="0.25">
      <c r="A284" s="1">
        <v>282</v>
      </c>
      <c r="B284" s="3">
        <f t="shared" ca="1" si="10"/>
        <v>0.40345415757945668</v>
      </c>
      <c r="C284" s="2">
        <f t="shared" ca="1" si="9"/>
        <v>8</v>
      </c>
    </row>
    <row r="285" spans="1:3" ht="14.5" x14ac:dyDescent="0.25">
      <c r="A285" s="1">
        <v>283</v>
      </c>
      <c r="B285" s="3">
        <f t="shared" ca="1" si="10"/>
        <v>6.6688384297254211E-2</v>
      </c>
      <c r="C285" s="2">
        <f t="shared" ca="1" si="9"/>
        <v>5</v>
      </c>
    </row>
    <row r="286" spans="1:3" ht="14.5" x14ac:dyDescent="0.25">
      <c r="A286" s="1">
        <v>284</v>
      </c>
      <c r="B286" s="3">
        <f t="shared" ca="1" si="10"/>
        <v>0.33671378954738185</v>
      </c>
      <c r="C286" s="2">
        <f t="shared" ca="1" si="9"/>
        <v>7</v>
      </c>
    </row>
    <row r="287" spans="1:3" ht="14.5" x14ac:dyDescent="0.25">
      <c r="A287" s="1">
        <v>285</v>
      </c>
      <c r="B287" s="3">
        <f t="shared" ca="1" si="10"/>
        <v>0.47222268718228266</v>
      </c>
      <c r="C287" s="2">
        <f t="shared" ca="1" si="9"/>
        <v>8</v>
      </c>
    </row>
    <row r="288" spans="1:3" ht="14.5" x14ac:dyDescent="0.25">
      <c r="A288" s="1">
        <v>286</v>
      </c>
      <c r="B288" s="3">
        <f t="shared" ca="1" si="10"/>
        <v>0.77233599284882237</v>
      </c>
      <c r="C288" s="2">
        <f t="shared" ca="1" si="9"/>
        <v>9</v>
      </c>
    </row>
    <row r="289" spans="1:3" ht="14.5" x14ac:dyDescent="0.25">
      <c r="A289" s="1">
        <v>287</v>
      </c>
      <c r="B289" s="3">
        <f t="shared" ca="1" si="10"/>
        <v>0.53434344807790546</v>
      </c>
      <c r="C289" s="2">
        <f t="shared" ca="1" si="9"/>
        <v>8</v>
      </c>
    </row>
    <row r="290" spans="1:3" ht="14.5" x14ac:dyDescent="0.25">
      <c r="A290" s="1">
        <v>288</v>
      </c>
      <c r="B290" s="3">
        <f t="shared" ca="1" si="10"/>
        <v>0.68503023855135936</v>
      </c>
      <c r="C290" s="2">
        <f t="shared" ca="1" si="9"/>
        <v>9</v>
      </c>
    </row>
    <row r="291" spans="1:3" ht="14.5" x14ac:dyDescent="0.25">
      <c r="A291" s="1">
        <v>289</v>
      </c>
      <c r="B291" s="3">
        <f t="shared" ca="1" si="10"/>
        <v>0.60864482115681684</v>
      </c>
      <c r="C291" s="2">
        <f t="shared" ca="1" si="9"/>
        <v>9</v>
      </c>
    </row>
    <row r="292" spans="1:3" ht="14.5" x14ac:dyDescent="0.25">
      <c r="A292" s="1">
        <v>290</v>
      </c>
      <c r="B292" s="3">
        <f t="shared" ca="1" si="10"/>
        <v>0.95615422509002868</v>
      </c>
      <c r="C292" s="2">
        <f t="shared" ca="1" si="9"/>
        <v>11</v>
      </c>
    </row>
    <row r="293" spans="1:3" ht="14.5" x14ac:dyDescent="0.25">
      <c r="A293" s="1">
        <v>291</v>
      </c>
      <c r="B293" s="3">
        <f t="shared" ca="1" si="10"/>
        <v>0.65346814398927766</v>
      </c>
      <c r="C293" s="2">
        <f t="shared" ca="1" si="9"/>
        <v>9</v>
      </c>
    </row>
    <row r="294" spans="1:3" ht="14.5" x14ac:dyDescent="0.25">
      <c r="A294" s="1">
        <v>292</v>
      </c>
      <c r="B294" s="3">
        <f t="shared" ca="1" si="10"/>
        <v>0.60570439998759351</v>
      </c>
      <c r="C294" s="2">
        <f t="shared" ca="1" si="9"/>
        <v>9</v>
      </c>
    </row>
    <row r="295" spans="1:3" ht="14.5" x14ac:dyDescent="0.25">
      <c r="A295" s="1">
        <v>293</v>
      </c>
      <c r="B295" s="3">
        <f t="shared" ca="1" si="10"/>
        <v>0.84233325366664269</v>
      </c>
      <c r="C295" s="2">
        <f t="shared" ca="1" si="9"/>
        <v>10</v>
      </c>
    </row>
    <row r="296" spans="1:3" ht="14.5" x14ac:dyDescent="0.25">
      <c r="A296" s="1">
        <v>294</v>
      </c>
      <c r="B296" s="3">
        <f t="shared" ca="1" si="10"/>
        <v>0.8021590347090819</v>
      </c>
      <c r="C296" s="2">
        <f t="shared" ca="1" si="9"/>
        <v>10</v>
      </c>
    </row>
    <row r="297" spans="1:3" ht="14.5" x14ac:dyDescent="0.25">
      <c r="A297" s="1">
        <v>295</v>
      </c>
      <c r="B297" s="3">
        <f t="shared" ca="1" si="10"/>
        <v>0.77019240213714191</v>
      </c>
      <c r="C297" s="2">
        <f t="shared" ca="1" si="9"/>
        <v>9</v>
      </c>
    </row>
    <row r="298" spans="1:3" ht="14.5" x14ac:dyDescent="0.25">
      <c r="A298" s="1">
        <v>296</v>
      </c>
      <c r="B298" s="3">
        <f t="shared" ca="1" si="10"/>
        <v>0.41109242546840608</v>
      </c>
      <c r="C298" s="2">
        <f t="shared" ca="1" si="9"/>
        <v>8</v>
      </c>
    </row>
    <row r="299" spans="1:3" ht="14.5" x14ac:dyDescent="0.25">
      <c r="A299" s="1">
        <v>297</v>
      </c>
      <c r="B299" s="3">
        <f t="shared" ca="1" si="10"/>
        <v>0.39708314635797393</v>
      </c>
      <c r="C299" s="2">
        <f t="shared" ca="1" si="9"/>
        <v>7</v>
      </c>
    </row>
    <row r="300" spans="1:3" ht="14.5" x14ac:dyDescent="0.25">
      <c r="A300" s="1">
        <v>298</v>
      </c>
      <c r="B300" s="3">
        <f t="shared" ca="1" si="10"/>
        <v>0.22444702562079621</v>
      </c>
      <c r="C300" s="2">
        <f t="shared" ca="1" si="9"/>
        <v>6</v>
      </c>
    </row>
    <row r="301" spans="1:3" ht="14.5" x14ac:dyDescent="0.25">
      <c r="A301" s="1">
        <v>299</v>
      </c>
      <c r="B301" s="3">
        <f t="shared" ca="1" si="10"/>
        <v>0.74000508259779674</v>
      </c>
      <c r="C301" s="2">
        <f t="shared" ca="1" si="9"/>
        <v>9</v>
      </c>
    </row>
    <row r="302" spans="1:3" ht="14.5" x14ac:dyDescent="0.25">
      <c r="A302" s="1">
        <v>300</v>
      </c>
      <c r="B302" s="3">
        <f t="shared" ca="1" si="10"/>
        <v>0.27759168576629656</v>
      </c>
      <c r="C302" s="2">
        <f t="shared" ca="1" si="9"/>
        <v>7</v>
      </c>
    </row>
    <row r="303" spans="1:3" ht="14.5" x14ac:dyDescent="0.25">
      <c r="A303" s="1">
        <v>301</v>
      </c>
      <c r="B303" s="3">
        <f t="shared" ca="1" si="10"/>
        <v>0.3912276764754391</v>
      </c>
      <c r="C303" s="2">
        <f t="shared" ca="1" si="9"/>
        <v>7</v>
      </c>
    </row>
    <row r="304" spans="1:3" ht="14.5" x14ac:dyDescent="0.25">
      <c r="A304" s="1">
        <v>302</v>
      </c>
      <c r="B304" s="3">
        <f t="shared" ca="1" si="10"/>
        <v>0.94622843820673719</v>
      </c>
      <c r="C304" s="2">
        <f t="shared" ca="1" si="9"/>
        <v>11</v>
      </c>
    </row>
    <row r="305" spans="1:3" ht="14.5" x14ac:dyDescent="0.25">
      <c r="A305" s="1">
        <v>303</v>
      </c>
      <c r="B305" s="3">
        <f t="shared" ca="1" si="10"/>
        <v>0.41416976397172656</v>
      </c>
      <c r="C305" s="2">
        <f t="shared" ca="1" si="9"/>
        <v>8</v>
      </c>
    </row>
    <row r="306" spans="1:3" ht="14.5" x14ac:dyDescent="0.25">
      <c r="A306" s="1">
        <v>304</v>
      </c>
      <c r="B306" s="3">
        <f t="shared" ca="1" si="10"/>
        <v>0.58341568075445194</v>
      </c>
      <c r="C306" s="2">
        <f t="shared" ca="1" si="9"/>
        <v>8</v>
      </c>
    </row>
    <row r="307" spans="1:3" ht="14.5" x14ac:dyDescent="0.25">
      <c r="A307" s="1">
        <v>305</v>
      </c>
      <c r="B307" s="3">
        <f t="shared" ca="1" si="10"/>
        <v>0.26787088030070283</v>
      </c>
      <c r="C307" s="2">
        <f t="shared" ca="1" si="9"/>
        <v>7</v>
      </c>
    </row>
    <row r="308" spans="1:3" ht="14.5" x14ac:dyDescent="0.25">
      <c r="A308" s="1">
        <v>306</v>
      </c>
      <c r="B308" s="3">
        <f t="shared" ca="1" si="10"/>
        <v>0.96353774971469763</v>
      </c>
      <c r="C308" s="2">
        <f t="shared" ca="1" si="9"/>
        <v>12</v>
      </c>
    </row>
    <row r="309" spans="1:3" ht="14.5" x14ac:dyDescent="0.25">
      <c r="A309" s="1">
        <v>307</v>
      </c>
      <c r="B309" s="3">
        <f t="shared" ca="1" si="10"/>
        <v>0.52787843312428728</v>
      </c>
      <c r="C309" s="2">
        <f t="shared" ca="1" si="9"/>
        <v>8</v>
      </c>
    </row>
    <row r="310" spans="1:3" ht="14.5" x14ac:dyDescent="0.25">
      <c r="A310" s="1">
        <v>308</v>
      </c>
      <c r="B310" s="3">
        <f t="shared" ca="1" si="10"/>
        <v>0.84037976057810571</v>
      </c>
      <c r="C310" s="2">
        <f t="shared" ca="1" si="9"/>
        <v>10</v>
      </c>
    </row>
    <row r="311" spans="1:3" ht="14.5" x14ac:dyDescent="0.25">
      <c r="A311" s="1">
        <v>309</v>
      </c>
      <c r="B311" s="3">
        <f t="shared" ca="1" si="10"/>
        <v>0.78962725630167763</v>
      </c>
      <c r="C311" s="2">
        <f t="shared" ca="1" si="9"/>
        <v>10</v>
      </c>
    </row>
    <row r="312" spans="1:3" ht="14.5" x14ac:dyDescent="0.25">
      <c r="A312" s="1">
        <v>310</v>
      </c>
      <c r="B312" s="3">
        <f t="shared" ca="1" si="10"/>
        <v>0.31473901138207205</v>
      </c>
      <c r="C312" s="2">
        <f t="shared" ca="1" si="9"/>
        <v>7</v>
      </c>
    </row>
    <row r="313" spans="1:3" ht="14.5" x14ac:dyDescent="0.25">
      <c r="A313" s="1">
        <v>311</v>
      </c>
      <c r="B313" s="3">
        <f t="shared" ca="1" si="10"/>
        <v>0.59032301125809594</v>
      </c>
      <c r="C313" s="2">
        <f t="shared" ca="1" si="9"/>
        <v>8</v>
      </c>
    </row>
    <row r="314" spans="1:3" ht="14.5" x14ac:dyDescent="0.25">
      <c r="A314" s="1">
        <v>312</v>
      </c>
      <c r="B314" s="3">
        <f t="shared" ca="1" si="10"/>
        <v>0.8557369794846762</v>
      </c>
      <c r="C314" s="2">
        <f t="shared" ca="1" si="9"/>
        <v>10</v>
      </c>
    </row>
    <row r="315" spans="1:3" ht="14.5" x14ac:dyDescent="0.25">
      <c r="A315" s="1">
        <v>313</v>
      </c>
      <c r="B315" s="3">
        <f t="shared" ca="1" si="10"/>
        <v>0.80143187398935312</v>
      </c>
      <c r="C315" s="2">
        <f t="shared" ca="1" si="9"/>
        <v>10</v>
      </c>
    </row>
    <row r="316" spans="1:3" ht="14.5" x14ac:dyDescent="0.25">
      <c r="A316" s="1">
        <v>314</v>
      </c>
      <c r="B316" s="3">
        <f t="shared" ca="1" si="10"/>
        <v>0.19365342910876371</v>
      </c>
      <c r="C316" s="2">
        <f t="shared" ca="1" si="9"/>
        <v>6</v>
      </c>
    </row>
    <row r="317" spans="1:3" ht="14.5" x14ac:dyDescent="0.25">
      <c r="A317" s="1">
        <v>315</v>
      </c>
      <c r="B317" s="3">
        <f t="shared" ca="1" si="10"/>
        <v>0.54782525578922658</v>
      </c>
      <c r="C317" s="2">
        <f t="shared" ca="1" si="9"/>
        <v>8</v>
      </c>
    </row>
    <row r="318" spans="1:3" ht="14.5" x14ac:dyDescent="0.25">
      <c r="A318" s="1">
        <v>316</v>
      </c>
      <c r="B318" s="3">
        <f t="shared" ca="1" si="10"/>
        <v>0.24724703940770043</v>
      </c>
      <c r="C318" s="2">
        <f t="shared" ca="1" si="9"/>
        <v>7</v>
      </c>
    </row>
    <row r="319" spans="1:3" ht="14.5" x14ac:dyDescent="0.25">
      <c r="A319" s="1">
        <v>317</v>
      </c>
      <c r="B319" s="3">
        <f t="shared" ca="1" si="10"/>
        <v>0.68170245175918331</v>
      </c>
      <c r="C319" s="2">
        <f t="shared" ca="1" si="9"/>
        <v>9</v>
      </c>
    </row>
    <row r="320" spans="1:3" ht="14.5" x14ac:dyDescent="0.25">
      <c r="A320" s="1">
        <v>318</v>
      </c>
      <c r="B320" s="3">
        <f t="shared" ca="1" si="10"/>
        <v>0.76514042578343555</v>
      </c>
      <c r="C320" s="2">
        <f t="shared" ca="1" si="9"/>
        <v>9</v>
      </c>
    </row>
    <row r="321" spans="1:3" ht="14.5" x14ac:dyDescent="0.25">
      <c r="A321" s="1">
        <v>319</v>
      </c>
      <c r="B321" s="3">
        <f t="shared" ca="1" si="10"/>
        <v>0.27912152055882478</v>
      </c>
      <c r="C321" s="2">
        <f t="shared" ca="1" si="9"/>
        <v>7</v>
      </c>
    </row>
    <row r="322" spans="1:3" ht="14.5" x14ac:dyDescent="0.25">
      <c r="A322" s="1">
        <v>320</v>
      </c>
      <c r="B322" s="3">
        <f t="shared" ca="1" si="10"/>
        <v>0.80325494006304266</v>
      </c>
      <c r="C322" s="2">
        <f t="shared" ca="1" si="9"/>
        <v>10</v>
      </c>
    </row>
    <row r="323" spans="1:3" ht="14.5" x14ac:dyDescent="0.25">
      <c r="A323" s="1">
        <v>321</v>
      </c>
      <c r="B323" s="3">
        <f t="shared" ca="1" si="10"/>
        <v>0.80524652023373577</v>
      </c>
      <c r="C323" s="2">
        <f t="shared" ca="1" si="9"/>
        <v>10</v>
      </c>
    </row>
    <row r="324" spans="1:3" ht="14.5" x14ac:dyDescent="0.25">
      <c r="A324" s="1">
        <v>322</v>
      </c>
      <c r="B324" s="3">
        <f t="shared" ca="1" si="10"/>
        <v>0.61137261135047505</v>
      </c>
      <c r="C324" s="2">
        <f t="shared" ref="C324:C387" ca="1" si="11">ROUND(_xlfn.NORM.INV(B324,$H$3,$I$3),0)</f>
        <v>9</v>
      </c>
    </row>
    <row r="325" spans="1:3" ht="14.5" x14ac:dyDescent="0.25">
      <c r="A325" s="1">
        <v>323</v>
      </c>
      <c r="B325" s="3">
        <f t="shared" ref="B325:B388" ca="1" si="12">RAND()</f>
        <v>4.6047846068733578E-2</v>
      </c>
      <c r="C325" s="2">
        <f t="shared" ca="1" si="11"/>
        <v>5</v>
      </c>
    </row>
    <row r="326" spans="1:3" ht="14.5" x14ac:dyDescent="0.25">
      <c r="A326" s="1">
        <v>324</v>
      </c>
      <c r="B326" s="3">
        <f t="shared" ca="1" si="12"/>
        <v>0.83454550099367841</v>
      </c>
      <c r="C326" s="2">
        <f t="shared" ca="1" si="11"/>
        <v>10</v>
      </c>
    </row>
    <row r="327" spans="1:3" ht="14.5" x14ac:dyDescent="0.25">
      <c r="A327" s="1">
        <v>325</v>
      </c>
      <c r="B327" s="3">
        <f t="shared" ca="1" si="12"/>
        <v>0.17203532831158408</v>
      </c>
      <c r="C327" s="2">
        <f t="shared" ca="1" si="11"/>
        <v>6</v>
      </c>
    </row>
    <row r="328" spans="1:3" ht="14.5" x14ac:dyDescent="0.25">
      <c r="A328" s="1">
        <v>326</v>
      </c>
      <c r="B328" s="3">
        <f t="shared" ca="1" si="12"/>
        <v>0.46696632423637907</v>
      </c>
      <c r="C328" s="2">
        <f t="shared" ca="1" si="11"/>
        <v>8</v>
      </c>
    </row>
    <row r="329" spans="1:3" ht="14.5" x14ac:dyDescent="0.25">
      <c r="A329" s="1">
        <v>327</v>
      </c>
      <c r="B329" s="3">
        <f t="shared" ca="1" si="12"/>
        <v>0.82386161624235787</v>
      </c>
      <c r="C329" s="2">
        <f t="shared" ca="1" si="11"/>
        <v>10</v>
      </c>
    </row>
    <row r="330" spans="1:3" ht="14.5" x14ac:dyDescent="0.25">
      <c r="A330" s="1">
        <v>328</v>
      </c>
      <c r="B330" s="3">
        <f t="shared" ca="1" si="12"/>
        <v>0.96225377042718407</v>
      </c>
      <c r="C330" s="2">
        <f t="shared" ca="1" si="11"/>
        <v>12</v>
      </c>
    </row>
    <row r="331" spans="1:3" ht="14.5" x14ac:dyDescent="0.25">
      <c r="A331" s="1">
        <v>329</v>
      </c>
      <c r="B331" s="3">
        <f t="shared" ca="1" si="12"/>
        <v>7.8244368879919368E-2</v>
      </c>
      <c r="C331" s="2">
        <f t="shared" ca="1" si="11"/>
        <v>5</v>
      </c>
    </row>
    <row r="332" spans="1:3" ht="14.5" x14ac:dyDescent="0.25">
      <c r="A332" s="1">
        <v>330</v>
      </c>
      <c r="B332" s="3">
        <f t="shared" ca="1" si="12"/>
        <v>0.8009361943458928</v>
      </c>
      <c r="C332" s="2">
        <f t="shared" ca="1" si="11"/>
        <v>10</v>
      </c>
    </row>
    <row r="333" spans="1:3" ht="14.5" x14ac:dyDescent="0.25">
      <c r="A333" s="1">
        <v>331</v>
      </c>
      <c r="B333" s="3">
        <f t="shared" ca="1" si="12"/>
        <v>0.88932144310318084</v>
      </c>
      <c r="C333" s="2">
        <f t="shared" ca="1" si="11"/>
        <v>10</v>
      </c>
    </row>
    <row r="334" spans="1:3" ht="14.5" x14ac:dyDescent="0.25">
      <c r="A334" s="1">
        <v>332</v>
      </c>
      <c r="B334" s="3">
        <f t="shared" ca="1" si="12"/>
        <v>4.2648725949535171E-2</v>
      </c>
      <c r="C334" s="2">
        <f t="shared" ca="1" si="11"/>
        <v>5</v>
      </c>
    </row>
    <row r="335" spans="1:3" ht="14.5" x14ac:dyDescent="0.25">
      <c r="A335" s="1">
        <v>333</v>
      </c>
      <c r="B335" s="3">
        <f t="shared" ca="1" si="12"/>
        <v>0.74209789469999421</v>
      </c>
      <c r="C335" s="2">
        <f t="shared" ca="1" si="11"/>
        <v>9</v>
      </c>
    </row>
    <row r="336" spans="1:3" ht="14.5" x14ac:dyDescent="0.25">
      <c r="A336" s="1">
        <v>334</v>
      </c>
      <c r="B336" s="3">
        <f t="shared" ca="1" si="12"/>
        <v>0.97648960502437088</v>
      </c>
      <c r="C336" s="2">
        <f t="shared" ca="1" si="11"/>
        <v>12</v>
      </c>
    </row>
    <row r="337" spans="1:3" ht="14.5" x14ac:dyDescent="0.25">
      <c r="A337" s="1">
        <v>335</v>
      </c>
      <c r="B337" s="3">
        <f t="shared" ca="1" si="12"/>
        <v>0.21224112794940797</v>
      </c>
      <c r="C337" s="2">
        <f t="shared" ca="1" si="11"/>
        <v>6</v>
      </c>
    </row>
    <row r="338" spans="1:3" ht="14.5" x14ac:dyDescent="0.25">
      <c r="A338" s="1">
        <v>336</v>
      </c>
      <c r="B338" s="3">
        <f t="shared" ca="1" si="12"/>
        <v>0.41661247999831019</v>
      </c>
      <c r="C338" s="2">
        <f t="shared" ca="1" si="11"/>
        <v>8</v>
      </c>
    </row>
    <row r="339" spans="1:3" ht="14.5" x14ac:dyDescent="0.25">
      <c r="A339" s="1">
        <v>337</v>
      </c>
      <c r="B339" s="3">
        <f t="shared" ca="1" si="12"/>
        <v>0.98711491589626088</v>
      </c>
      <c r="C339" s="2">
        <f t="shared" ca="1" si="11"/>
        <v>12</v>
      </c>
    </row>
    <row r="340" spans="1:3" ht="14.5" x14ac:dyDescent="0.25">
      <c r="A340" s="1">
        <v>338</v>
      </c>
      <c r="B340" s="3">
        <f t="shared" ca="1" si="12"/>
        <v>0.19884813591678352</v>
      </c>
      <c r="C340" s="2">
        <f t="shared" ca="1" si="11"/>
        <v>6</v>
      </c>
    </row>
    <row r="341" spans="1:3" ht="14.5" x14ac:dyDescent="0.25">
      <c r="A341" s="1">
        <v>339</v>
      </c>
      <c r="B341" s="3">
        <f t="shared" ca="1" si="12"/>
        <v>0.81433637452030883</v>
      </c>
      <c r="C341" s="2">
        <f t="shared" ca="1" si="11"/>
        <v>10</v>
      </c>
    </row>
    <row r="342" spans="1:3" ht="14.5" x14ac:dyDescent="0.25">
      <c r="A342" s="1">
        <v>340</v>
      </c>
      <c r="B342" s="3">
        <f t="shared" ca="1" si="12"/>
        <v>0.31100138036904268</v>
      </c>
      <c r="C342" s="2">
        <f t="shared" ca="1" si="11"/>
        <v>7</v>
      </c>
    </row>
    <row r="343" spans="1:3" ht="14.5" x14ac:dyDescent="0.25">
      <c r="A343" s="1">
        <v>341</v>
      </c>
      <c r="B343" s="3">
        <f t="shared" ca="1" si="12"/>
        <v>0.36665604071136537</v>
      </c>
      <c r="C343" s="2">
        <f t="shared" ca="1" si="11"/>
        <v>7</v>
      </c>
    </row>
    <row r="344" spans="1:3" ht="14.5" x14ac:dyDescent="0.25">
      <c r="A344" s="1">
        <v>342</v>
      </c>
      <c r="B344" s="3">
        <f t="shared" ca="1" si="12"/>
        <v>0.60725846952633766</v>
      </c>
      <c r="C344" s="2">
        <f t="shared" ca="1" si="11"/>
        <v>9</v>
      </c>
    </row>
    <row r="345" spans="1:3" ht="14.5" x14ac:dyDescent="0.25">
      <c r="A345" s="1">
        <v>343</v>
      </c>
      <c r="B345" s="3">
        <f t="shared" ca="1" si="12"/>
        <v>0.46232790439871352</v>
      </c>
      <c r="C345" s="2">
        <f t="shared" ca="1" si="11"/>
        <v>8</v>
      </c>
    </row>
    <row r="346" spans="1:3" ht="14.5" x14ac:dyDescent="0.25">
      <c r="A346" s="1">
        <v>344</v>
      </c>
      <c r="B346" s="3">
        <f t="shared" ca="1" si="12"/>
        <v>0.93087239158989044</v>
      </c>
      <c r="C346" s="2">
        <f t="shared" ca="1" si="11"/>
        <v>11</v>
      </c>
    </row>
    <row r="347" spans="1:3" ht="14.5" x14ac:dyDescent="0.25">
      <c r="A347" s="1">
        <v>345</v>
      </c>
      <c r="B347" s="3">
        <f t="shared" ca="1" si="12"/>
        <v>0.70030550036792349</v>
      </c>
      <c r="C347" s="2">
        <f t="shared" ca="1" si="11"/>
        <v>9</v>
      </c>
    </row>
    <row r="348" spans="1:3" ht="14.5" x14ac:dyDescent="0.25">
      <c r="A348" s="1">
        <v>346</v>
      </c>
      <c r="B348" s="3">
        <f t="shared" ca="1" si="12"/>
        <v>0.97656279675436752</v>
      </c>
      <c r="C348" s="2">
        <f t="shared" ca="1" si="11"/>
        <v>12</v>
      </c>
    </row>
    <row r="349" spans="1:3" ht="14.5" x14ac:dyDescent="0.25">
      <c r="A349" s="1">
        <v>347</v>
      </c>
      <c r="B349" s="3">
        <f t="shared" ca="1" si="12"/>
        <v>0.18329698745177669</v>
      </c>
      <c r="C349" s="2">
        <f t="shared" ca="1" si="11"/>
        <v>6</v>
      </c>
    </row>
    <row r="350" spans="1:3" ht="14.5" x14ac:dyDescent="0.25">
      <c r="A350" s="1">
        <v>348</v>
      </c>
      <c r="B350" s="3">
        <f t="shared" ca="1" si="12"/>
        <v>0.51834689792428179</v>
      </c>
      <c r="C350" s="2">
        <f t="shared" ca="1" si="11"/>
        <v>8</v>
      </c>
    </row>
    <row r="351" spans="1:3" ht="14.5" x14ac:dyDescent="0.25">
      <c r="A351" s="1">
        <v>349</v>
      </c>
      <c r="B351" s="3">
        <f t="shared" ca="1" si="12"/>
        <v>0.66055265060470059</v>
      </c>
      <c r="C351" s="2">
        <f t="shared" ca="1" si="11"/>
        <v>9</v>
      </c>
    </row>
    <row r="352" spans="1:3" ht="14.5" x14ac:dyDescent="0.25">
      <c r="A352" s="1">
        <v>350</v>
      </c>
      <c r="B352" s="3">
        <f t="shared" ca="1" si="12"/>
        <v>0.23529297467597843</v>
      </c>
      <c r="C352" s="2">
        <f t="shared" ca="1" si="11"/>
        <v>7</v>
      </c>
    </row>
    <row r="353" spans="1:3" ht="14.5" x14ac:dyDescent="0.25">
      <c r="A353" s="1">
        <v>351</v>
      </c>
      <c r="B353" s="3">
        <f t="shared" ca="1" si="12"/>
        <v>0.72695432299928697</v>
      </c>
      <c r="C353" s="2">
        <f t="shared" ca="1" si="11"/>
        <v>9</v>
      </c>
    </row>
    <row r="354" spans="1:3" ht="14.5" x14ac:dyDescent="0.25">
      <c r="A354" s="1">
        <v>352</v>
      </c>
      <c r="B354" s="3">
        <f t="shared" ca="1" si="12"/>
        <v>0.48811928881349387</v>
      </c>
      <c r="C354" s="2">
        <f t="shared" ca="1" si="11"/>
        <v>8</v>
      </c>
    </row>
    <row r="355" spans="1:3" ht="14.5" x14ac:dyDescent="0.25">
      <c r="A355" s="1">
        <v>353</v>
      </c>
      <c r="B355" s="3">
        <f t="shared" ca="1" si="12"/>
        <v>0.11796905082097076</v>
      </c>
      <c r="C355" s="2">
        <f t="shared" ca="1" si="11"/>
        <v>6</v>
      </c>
    </row>
    <row r="356" spans="1:3" ht="14.5" x14ac:dyDescent="0.25">
      <c r="A356" s="1">
        <v>354</v>
      </c>
      <c r="B356" s="3">
        <f t="shared" ca="1" si="12"/>
        <v>0.12830108030680532</v>
      </c>
      <c r="C356" s="2">
        <f t="shared" ca="1" si="11"/>
        <v>6</v>
      </c>
    </row>
    <row r="357" spans="1:3" ht="14.5" x14ac:dyDescent="0.25">
      <c r="A357" s="1">
        <v>355</v>
      </c>
      <c r="B357" s="3">
        <f t="shared" ca="1" si="12"/>
        <v>0.2477317797486942</v>
      </c>
      <c r="C357" s="2">
        <f t="shared" ca="1" si="11"/>
        <v>7</v>
      </c>
    </row>
    <row r="358" spans="1:3" ht="14.5" x14ac:dyDescent="0.25">
      <c r="A358" s="1">
        <v>356</v>
      </c>
      <c r="B358" s="3">
        <f t="shared" ca="1" si="12"/>
        <v>0.2115067709942261</v>
      </c>
      <c r="C358" s="2">
        <f t="shared" ca="1" si="11"/>
        <v>6</v>
      </c>
    </row>
    <row r="359" spans="1:3" ht="14.5" x14ac:dyDescent="0.25">
      <c r="A359" s="1">
        <v>357</v>
      </c>
      <c r="B359" s="3">
        <f t="shared" ca="1" si="12"/>
        <v>1.2024757123673457E-2</v>
      </c>
      <c r="C359" s="2">
        <f t="shared" ca="1" si="11"/>
        <v>3</v>
      </c>
    </row>
    <row r="360" spans="1:3" ht="14.5" x14ac:dyDescent="0.25">
      <c r="A360" s="1">
        <v>358</v>
      </c>
      <c r="B360" s="3">
        <f t="shared" ca="1" si="12"/>
        <v>0.77276960564080766</v>
      </c>
      <c r="C360" s="2">
        <f t="shared" ca="1" si="11"/>
        <v>9</v>
      </c>
    </row>
    <row r="361" spans="1:3" ht="14.5" x14ac:dyDescent="0.25">
      <c r="A361" s="1">
        <v>359</v>
      </c>
      <c r="B361" s="3">
        <f t="shared" ca="1" si="12"/>
        <v>0.28003316358820196</v>
      </c>
      <c r="C361" s="2">
        <f t="shared" ca="1" si="11"/>
        <v>7</v>
      </c>
    </row>
    <row r="362" spans="1:3" ht="14.5" x14ac:dyDescent="0.25">
      <c r="A362" s="1">
        <v>360</v>
      </c>
      <c r="B362" s="3">
        <f t="shared" ca="1" si="12"/>
        <v>0.98733628469249746</v>
      </c>
      <c r="C362" s="2">
        <f t="shared" ca="1" si="11"/>
        <v>12</v>
      </c>
    </row>
    <row r="363" spans="1:3" ht="14.5" x14ac:dyDescent="0.25">
      <c r="A363" s="1">
        <v>361</v>
      </c>
      <c r="B363" s="3">
        <f t="shared" ca="1" si="12"/>
        <v>0.22962783766777628</v>
      </c>
      <c r="C363" s="2">
        <f t="shared" ca="1" si="11"/>
        <v>7</v>
      </c>
    </row>
    <row r="364" spans="1:3" ht="14.5" x14ac:dyDescent="0.25">
      <c r="A364" s="1">
        <v>362</v>
      </c>
      <c r="B364" s="3">
        <f t="shared" ca="1" si="12"/>
        <v>0.51623872781573954</v>
      </c>
      <c r="C364" s="2">
        <f t="shared" ca="1" si="11"/>
        <v>8</v>
      </c>
    </row>
    <row r="365" spans="1:3" ht="14.5" x14ac:dyDescent="0.25">
      <c r="A365" s="1">
        <v>363</v>
      </c>
      <c r="B365" s="3">
        <f t="shared" ca="1" si="12"/>
        <v>0.24330512515543656</v>
      </c>
      <c r="C365" s="2">
        <f t="shared" ca="1" si="11"/>
        <v>7</v>
      </c>
    </row>
    <row r="366" spans="1:3" ht="14.5" x14ac:dyDescent="0.25">
      <c r="A366" s="1">
        <v>364</v>
      </c>
      <c r="B366" s="3">
        <f t="shared" ca="1" si="12"/>
        <v>0.60648569762552107</v>
      </c>
      <c r="C366" s="2">
        <f t="shared" ca="1" si="11"/>
        <v>9</v>
      </c>
    </row>
    <row r="367" spans="1:3" ht="14.5" x14ac:dyDescent="0.25">
      <c r="A367" s="1">
        <v>365</v>
      </c>
      <c r="B367" s="3">
        <f t="shared" ca="1" si="12"/>
        <v>0.44909995692594262</v>
      </c>
      <c r="C367" s="2">
        <f t="shared" ca="1" si="11"/>
        <v>8</v>
      </c>
    </row>
    <row r="368" spans="1:3" ht="14.5" x14ac:dyDescent="0.25">
      <c r="A368" s="1">
        <v>366</v>
      </c>
      <c r="B368" s="3">
        <f t="shared" ca="1" si="12"/>
        <v>0.10845149130621268</v>
      </c>
      <c r="C368" s="2">
        <f t="shared" ca="1" si="11"/>
        <v>6</v>
      </c>
    </row>
    <row r="369" spans="1:3" ht="14.5" x14ac:dyDescent="0.25">
      <c r="A369" s="1">
        <v>367</v>
      </c>
      <c r="B369" s="3">
        <f t="shared" ca="1" si="12"/>
        <v>0.70629923018764063</v>
      </c>
      <c r="C369" s="2">
        <f t="shared" ca="1" si="11"/>
        <v>9</v>
      </c>
    </row>
    <row r="370" spans="1:3" ht="14.5" x14ac:dyDescent="0.25">
      <c r="A370" s="1">
        <v>368</v>
      </c>
      <c r="B370" s="3">
        <f t="shared" ca="1" si="12"/>
        <v>0.61550913665542684</v>
      </c>
      <c r="C370" s="2">
        <f t="shared" ca="1" si="11"/>
        <v>9</v>
      </c>
    </row>
    <row r="371" spans="1:3" ht="14.5" x14ac:dyDescent="0.25">
      <c r="A371" s="1">
        <v>369</v>
      </c>
      <c r="B371" s="3">
        <f t="shared" ca="1" si="12"/>
        <v>0.71162645624033005</v>
      </c>
      <c r="C371" s="2">
        <f t="shared" ca="1" si="11"/>
        <v>9</v>
      </c>
    </row>
    <row r="372" spans="1:3" ht="14.5" x14ac:dyDescent="0.25">
      <c r="A372" s="1">
        <v>370</v>
      </c>
      <c r="B372" s="3">
        <f t="shared" ca="1" si="12"/>
        <v>5.6429513876070647E-3</v>
      </c>
      <c r="C372" s="2">
        <f t="shared" ca="1" si="11"/>
        <v>3</v>
      </c>
    </row>
    <row r="373" spans="1:3" ht="14.5" x14ac:dyDescent="0.25">
      <c r="A373" s="1">
        <v>371</v>
      </c>
      <c r="B373" s="3">
        <f t="shared" ca="1" si="12"/>
        <v>0.41256847433546073</v>
      </c>
      <c r="C373" s="2">
        <f t="shared" ca="1" si="11"/>
        <v>8</v>
      </c>
    </row>
    <row r="374" spans="1:3" ht="14.5" x14ac:dyDescent="0.25">
      <c r="A374" s="1">
        <v>372</v>
      </c>
      <c r="B374" s="3">
        <f t="shared" ca="1" si="12"/>
        <v>0.85344560507738154</v>
      </c>
      <c r="C374" s="2">
        <f t="shared" ca="1" si="11"/>
        <v>10</v>
      </c>
    </row>
    <row r="375" spans="1:3" ht="14.5" x14ac:dyDescent="0.25">
      <c r="A375" s="1">
        <v>373</v>
      </c>
      <c r="B375" s="3">
        <f t="shared" ca="1" si="12"/>
        <v>6.4054811892487518E-2</v>
      </c>
      <c r="C375" s="2">
        <f t="shared" ca="1" si="11"/>
        <v>5</v>
      </c>
    </row>
    <row r="376" spans="1:3" ht="14.5" x14ac:dyDescent="0.25">
      <c r="A376" s="1">
        <v>374</v>
      </c>
      <c r="B376" s="3">
        <f t="shared" ca="1" si="12"/>
        <v>0.67097717289319014</v>
      </c>
      <c r="C376" s="2">
        <f t="shared" ca="1" si="11"/>
        <v>9</v>
      </c>
    </row>
    <row r="377" spans="1:3" ht="14.5" x14ac:dyDescent="0.25">
      <c r="A377" s="1">
        <v>375</v>
      </c>
      <c r="B377" s="3">
        <f t="shared" ca="1" si="12"/>
        <v>0.39070721606674585</v>
      </c>
      <c r="C377" s="2">
        <f t="shared" ca="1" si="11"/>
        <v>7</v>
      </c>
    </row>
    <row r="378" spans="1:3" ht="14.5" x14ac:dyDescent="0.25">
      <c r="A378" s="1">
        <v>376</v>
      </c>
      <c r="B378" s="3">
        <f t="shared" ca="1" si="12"/>
        <v>0.83643149593757504</v>
      </c>
      <c r="C378" s="2">
        <f t="shared" ca="1" si="11"/>
        <v>10</v>
      </c>
    </row>
    <row r="379" spans="1:3" ht="14.5" x14ac:dyDescent="0.25">
      <c r="A379" s="1">
        <v>377</v>
      </c>
      <c r="B379" s="3">
        <f t="shared" ca="1" si="12"/>
        <v>0.307629871123131</v>
      </c>
      <c r="C379" s="2">
        <f t="shared" ca="1" si="11"/>
        <v>7</v>
      </c>
    </row>
    <row r="380" spans="1:3" ht="14.5" x14ac:dyDescent="0.25">
      <c r="A380" s="1">
        <v>378</v>
      </c>
      <c r="B380" s="3">
        <f t="shared" ca="1" si="12"/>
        <v>0.94385375250016612</v>
      </c>
      <c r="C380" s="2">
        <f t="shared" ca="1" si="11"/>
        <v>11</v>
      </c>
    </row>
    <row r="381" spans="1:3" ht="14.5" x14ac:dyDescent="0.25">
      <c r="A381" s="1">
        <v>379</v>
      </c>
      <c r="B381" s="3">
        <f t="shared" ca="1" si="12"/>
        <v>0.3041462348005477</v>
      </c>
      <c r="C381" s="2">
        <f t="shared" ca="1" si="11"/>
        <v>7</v>
      </c>
    </row>
    <row r="382" spans="1:3" ht="14.5" x14ac:dyDescent="0.25">
      <c r="A382" s="1">
        <v>380</v>
      </c>
      <c r="B382" s="3">
        <f t="shared" ca="1" si="12"/>
        <v>0.1676906826435457</v>
      </c>
      <c r="C382" s="2">
        <f t="shared" ca="1" si="11"/>
        <v>6</v>
      </c>
    </row>
    <row r="383" spans="1:3" ht="14.5" x14ac:dyDescent="0.25">
      <c r="A383" s="1">
        <v>381</v>
      </c>
      <c r="B383" s="3">
        <f t="shared" ca="1" si="12"/>
        <v>8.5037572378869664E-2</v>
      </c>
      <c r="C383" s="2">
        <f t="shared" ca="1" si="11"/>
        <v>5</v>
      </c>
    </row>
    <row r="384" spans="1:3" ht="14.5" x14ac:dyDescent="0.25">
      <c r="A384" s="1">
        <v>382</v>
      </c>
      <c r="B384" s="3">
        <f t="shared" ca="1" si="12"/>
        <v>0.20786802174512531</v>
      </c>
      <c r="C384" s="2">
        <f t="shared" ca="1" si="11"/>
        <v>6</v>
      </c>
    </row>
    <row r="385" spans="1:3" ht="14.5" x14ac:dyDescent="0.25">
      <c r="A385" s="1">
        <v>383</v>
      </c>
      <c r="B385" s="3">
        <f t="shared" ca="1" si="12"/>
        <v>0.81195012940041766</v>
      </c>
      <c r="C385" s="2">
        <f t="shared" ca="1" si="11"/>
        <v>10</v>
      </c>
    </row>
    <row r="386" spans="1:3" ht="14.5" x14ac:dyDescent="0.25">
      <c r="A386" s="1">
        <v>384</v>
      </c>
      <c r="B386" s="3">
        <f t="shared" ca="1" si="12"/>
        <v>0.70092177353559904</v>
      </c>
      <c r="C386" s="2">
        <f t="shared" ca="1" si="11"/>
        <v>9</v>
      </c>
    </row>
    <row r="387" spans="1:3" ht="14.5" x14ac:dyDescent="0.25">
      <c r="A387" s="1">
        <v>385</v>
      </c>
      <c r="B387" s="3">
        <f t="shared" ca="1" si="12"/>
        <v>0.72803601009070573</v>
      </c>
      <c r="C387" s="2">
        <f t="shared" ca="1" si="11"/>
        <v>9</v>
      </c>
    </row>
    <row r="388" spans="1:3" ht="14.5" x14ac:dyDescent="0.25">
      <c r="A388" s="1">
        <v>386</v>
      </c>
      <c r="B388" s="3">
        <f t="shared" ca="1" si="12"/>
        <v>9.0632147572931143E-2</v>
      </c>
      <c r="C388" s="2">
        <f t="shared" ref="C388:C451" ca="1" si="13">ROUND(_xlfn.NORM.INV(B388,$H$3,$I$3),0)</f>
        <v>5</v>
      </c>
    </row>
    <row r="389" spans="1:3" ht="14.5" x14ac:dyDescent="0.25">
      <c r="A389" s="1">
        <v>387</v>
      </c>
      <c r="B389" s="3">
        <f t="shared" ref="B389:B452" ca="1" si="14">RAND()</f>
        <v>0.27746993949563503</v>
      </c>
      <c r="C389" s="2">
        <f t="shared" ca="1" si="13"/>
        <v>7</v>
      </c>
    </row>
    <row r="390" spans="1:3" ht="14.5" x14ac:dyDescent="0.25">
      <c r="A390" s="1">
        <v>388</v>
      </c>
      <c r="B390" s="3">
        <f t="shared" ca="1" si="14"/>
        <v>0.92496734965469429</v>
      </c>
      <c r="C390" s="2">
        <f t="shared" ca="1" si="13"/>
        <v>11</v>
      </c>
    </row>
    <row r="391" spans="1:3" ht="14.5" x14ac:dyDescent="0.25">
      <c r="A391" s="1">
        <v>389</v>
      </c>
      <c r="B391" s="3">
        <f t="shared" ca="1" si="14"/>
        <v>0.5137930582528224</v>
      </c>
      <c r="C391" s="2">
        <f t="shared" ca="1" si="13"/>
        <v>8</v>
      </c>
    </row>
    <row r="392" spans="1:3" ht="14.5" x14ac:dyDescent="0.25">
      <c r="A392" s="1">
        <v>390</v>
      </c>
      <c r="B392" s="3">
        <f t="shared" ca="1" si="14"/>
        <v>8.2410215750374549E-2</v>
      </c>
      <c r="C392" s="2">
        <f t="shared" ca="1" si="13"/>
        <v>5</v>
      </c>
    </row>
    <row r="393" spans="1:3" ht="14.5" x14ac:dyDescent="0.25">
      <c r="A393" s="1">
        <v>391</v>
      </c>
      <c r="B393" s="3">
        <f t="shared" ca="1" si="14"/>
        <v>0.70222892467961184</v>
      </c>
      <c r="C393" s="2">
        <f t="shared" ca="1" si="13"/>
        <v>9</v>
      </c>
    </row>
    <row r="394" spans="1:3" ht="14.5" x14ac:dyDescent="0.25">
      <c r="A394" s="1">
        <v>392</v>
      </c>
      <c r="B394" s="3">
        <f t="shared" ca="1" si="14"/>
        <v>0.93504707680429933</v>
      </c>
      <c r="C394" s="2">
        <f t="shared" ca="1" si="13"/>
        <v>11</v>
      </c>
    </row>
    <row r="395" spans="1:3" ht="14.5" x14ac:dyDescent="0.25">
      <c r="A395" s="1">
        <v>393</v>
      </c>
      <c r="B395" s="3">
        <f t="shared" ca="1" si="14"/>
        <v>0.61851833112286392</v>
      </c>
      <c r="C395" s="2">
        <f t="shared" ca="1" si="13"/>
        <v>9</v>
      </c>
    </row>
    <row r="396" spans="1:3" ht="14.5" x14ac:dyDescent="0.25">
      <c r="A396" s="1">
        <v>394</v>
      </c>
      <c r="B396" s="3">
        <f t="shared" ca="1" si="14"/>
        <v>0.65477547990626717</v>
      </c>
      <c r="C396" s="2">
        <f t="shared" ca="1" si="13"/>
        <v>9</v>
      </c>
    </row>
    <row r="397" spans="1:3" ht="14.5" x14ac:dyDescent="0.25">
      <c r="A397" s="1">
        <v>395</v>
      </c>
      <c r="B397" s="3">
        <f t="shared" ca="1" si="14"/>
        <v>0.96880666438763041</v>
      </c>
      <c r="C397" s="2">
        <f t="shared" ca="1" si="13"/>
        <v>12</v>
      </c>
    </row>
    <row r="398" spans="1:3" ht="14.5" x14ac:dyDescent="0.25">
      <c r="A398" s="1">
        <v>396</v>
      </c>
      <c r="B398" s="3">
        <f t="shared" ca="1" si="14"/>
        <v>0.98334106550365574</v>
      </c>
      <c r="C398" s="2">
        <f t="shared" ca="1" si="13"/>
        <v>12</v>
      </c>
    </row>
    <row r="399" spans="1:3" ht="14.5" x14ac:dyDescent="0.25">
      <c r="A399" s="1">
        <v>397</v>
      </c>
      <c r="B399" s="3">
        <f t="shared" ca="1" si="14"/>
        <v>2.6898673170111964E-2</v>
      </c>
      <c r="C399" s="2">
        <f t="shared" ca="1" si="13"/>
        <v>4</v>
      </c>
    </row>
    <row r="400" spans="1:3" ht="14.5" x14ac:dyDescent="0.25">
      <c r="A400" s="1">
        <v>398</v>
      </c>
      <c r="B400" s="3">
        <f t="shared" ca="1" si="14"/>
        <v>0.72710361431590964</v>
      </c>
      <c r="C400" s="2">
        <f t="shared" ca="1" si="13"/>
        <v>9</v>
      </c>
    </row>
    <row r="401" spans="1:3" ht="14.5" x14ac:dyDescent="0.25">
      <c r="A401" s="1">
        <v>399</v>
      </c>
      <c r="B401" s="3">
        <f t="shared" ca="1" si="14"/>
        <v>0.21165509378564107</v>
      </c>
      <c r="C401" s="2">
        <f t="shared" ca="1" si="13"/>
        <v>6</v>
      </c>
    </row>
    <row r="402" spans="1:3" ht="14.5" x14ac:dyDescent="0.25">
      <c r="A402" s="1">
        <v>400</v>
      </c>
      <c r="B402" s="3">
        <f t="shared" ca="1" si="14"/>
        <v>0.50229896288427611</v>
      </c>
      <c r="C402" s="2">
        <f t="shared" ca="1" si="13"/>
        <v>8</v>
      </c>
    </row>
    <row r="403" spans="1:3" ht="14.5" x14ac:dyDescent="0.25">
      <c r="A403" s="1">
        <v>401</v>
      </c>
      <c r="B403" s="3">
        <f t="shared" ca="1" si="14"/>
        <v>0.48902506944509094</v>
      </c>
      <c r="C403" s="2">
        <f t="shared" ca="1" si="13"/>
        <v>8</v>
      </c>
    </row>
    <row r="404" spans="1:3" ht="14.5" x14ac:dyDescent="0.25">
      <c r="A404" s="1">
        <v>402</v>
      </c>
      <c r="B404" s="3">
        <f t="shared" ca="1" si="14"/>
        <v>0.58789279044357334</v>
      </c>
      <c r="C404" s="2">
        <f t="shared" ca="1" si="13"/>
        <v>8</v>
      </c>
    </row>
    <row r="405" spans="1:3" ht="14.5" x14ac:dyDescent="0.25">
      <c r="A405" s="1">
        <v>403</v>
      </c>
      <c r="B405" s="3">
        <f t="shared" ca="1" si="14"/>
        <v>0.43272215219742383</v>
      </c>
      <c r="C405" s="2">
        <f t="shared" ca="1" si="13"/>
        <v>8</v>
      </c>
    </row>
    <row r="406" spans="1:3" ht="14.5" x14ac:dyDescent="0.25">
      <c r="A406" s="1">
        <v>404</v>
      </c>
      <c r="B406" s="3">
        <f t="shared" ca="1" si="14"/>
        <v>0.28418430057711574</v>
      </c>
      <c r="C406" s="2">
        <f t="shared" ca="1" si="13"/>
        <v>7</v>
      </c>
    </row>
    <row r="407" spans="1:3" ht="14.5" x14ac:dyDescent="0.25">
      <c r="A407" s="1">
        <v>405</v>
      </c>
      <c r="B407" s="3">
        <f t="shared" ca="1" si="14"/>
        <v>1.6428482625159169E-2</v>
      </c>
      <c r="C407" s="2">
        <f t="shared" ca="1" si="13"/>
        <v>4</v>
      </c>
    </row>
    <row r="408" spans="1:3" ht="14.5" x14ac:dyDescent="0.25">
      <c r="A408" s="1">
        <v>406</v>
      </c>
      <c r="B408" s="3">
        <f t="shared" ca="1" si="14"/>
        <v>0.45700295885971365</v>
      </c>
      <c r="C408" s="2">
        <f t="shared" ca="1" si="13"/>
        <v>8</v>
      </c>
    </row>
    <row r="409" spans="1:3" ht="14.5" x14ac:dyDescent="0.25">
      <c r="A409" s="1">
        <v>407</v>
      </c>
      <c r="B409" s="3">
        <f t="shared" ca="1" si="14"/>
        <v>0.75771944174463168</v>
      </c>
      <c r="C409" s="2">
        <f t="shared" ca="1" si="13"/>
        <v>9</v>
      </c>
    </row>
    <row r="410" spans="1:3" ht="14.5" x14ac:dyDescent="0.25">
      <c r="A410" s="1">
        <v>408</v>
      </c>
      <c r="B410" s="3">
        <f t="shared" ca="1" si="14"/>
        <v>0.2674524886767321</v>
      </c>
      <c r="C410" s="2">
        <f t="shared" ca="1" si="13"/>
        <v>7</v>
      </c>
    </row>
    <row r="411" spans="1:3" ht="14.5" x14ac:dyDescent="0.25">
      <c r="A411" s="1">
        <v>409</v>
      </c>
      <c r="B411" s="3">
        <f t="shared" ca="1" si="14"/>
        <v>1.6309880372109786E-2</v>
      </c>
      <c r="C411" s="2">
        <f t="shared" ca="1" si="13"/>
        <v>4</v>
      </c>
    </row>
    <row r="412" spans="1:3" ht="14.5" x14ac:dyDescent="0.25">
      <c r="A412" s="1">
        <v>410</v>
      </c>
      <c r="B412" s="3">
        <f t="shared" ca="1" si="14"/>
        <v>0.44051336073561043</v>
      </c>
      <c r="C412" s="2">
        <f t="shared" ca="1" si="13"/>
        <v>8</v>
      </c>
    </row>
    <row r="413" spans="1:3" ht="14.5" x14ac:dyDescent="0.25">
      <c r="A413" s="1">
        <v>411</v>
      </c>
      <c r="B413" s="3">
        <f t="shared" ca="1" si="14"/>
        <v>0.8913689049834318</v>
      </c>
      <c r="C413" s="2">
        <f t="shared" ca="1" si="13"/>
        <v>10</v>
      </c>
    </row>
    <row r="414" spans="1:3" ht="14.5" x14ac:dyDescent="0.25">
      <c r="A414" s="1">
        <v>412</v>
      </c>
      <c r="B414" s="3">
        <f t="shared" ca="1" si="14"/>
        <v>0.19615031545200434</v>
      </c>
      <c r="C414" s="2">
        <f t="shared" ca="1" si="13"/>
        <v>6</v>
      </c>
    </row>
    <row r="415" spans="1:3" ht="14.5" x14ac:dyDescent="0.25">
      <c r="A415" s="1">
        <v>413</v>
      </c>
      <c r="B415" s="3">
        <f t="shared" ca="1" si="14"/>
        <v>0.20196984541134211</v>
      </c>
      <c r="C415" s="2">
        <f t="shared" ca="1" si="13"/>
        <v>6</v>
      </c>
    </row>
    <row r="416" spans="1:3" ht="14.5" x14ac:dyDescent="0.25">
      <c r="A416" s="1">
        <v>414</v>
      </c>
      <c r="B416" s="3">
        <f t="shared" ca="1" si="14"/>
        <v>0.54670201679793962</v>
      </c>
      <c r="C416" s="2">
        <f t="shared" ca="1" si="13"/>
        <v>8</v>
      </c>
    </row>
    <row r="417" spans="1:3" ht="14.5" x14ac:dyDescent="0.25">
      <c r="A417" s="1">
        <v>415</v>
      </c>
      <c r="B417" s="3">
        <f t="shared" ca="1" si="14"/>
        <v>8.3213067524394724E-3</v>
      </c>
      <c r="C417" s="2">
        <f t="shared" ca="1" si="13"/>
        <v>3</v>
      </c>
    </row>
    <row r="418" spans="1:3" ht="14.5" x14ac:dyDescent="0.25">
      <c r="A418" s="1">
        <v>416</v>
      </c>
      <c r="B418" s="3">
        <f t="shared" ca="1" si="14"/>
        <v>0.91537572975384496</v>
      </c>
      <c r="C418" s="2">
        <f t="shared" ca="1" si="13"/>
        <v>11</v>
      </c>
    </row>
    <row r="419" spans="1:3" ht="14.5" x14ac:dyDescent="0.25">
      <c r="A419" s="1">
        <v>417</v>
      </c>
      <c r="B419" s="3">
        <f t="shared" ca="1" si="14"/>
        <v>0.18452790295075927</v>
      </c>
      <c r="C419" s="2">
        <f t="shared" ca="1" si="13"/>
        <v>6</v>
      </c>
    </row>
    <row r="420" spans="1:3" ht="14.5" x14ac:dyDescent="0.25">
      <c r="A420" s="1">
        <v>418</v>
      </c>
      <c r="B420" s="3">
        <f t="shared" ca="1" si="14"/>
        <v>0.99127048145886398</v>
      </c>
      <c r="C420" s="2">
        <f t="shared" ca="1" si="13"/>
        <v>13</v>
      </c>
    </row>
    <row r="421" spans="1:3" ht="14.5" x14ac:dyDescent="0.25">
      <c r="A421" s="1">
        <v>419</v>
      </c>
      <c r="B421" s="3">
        <f t="shared" ca="1" si="14"/>
        <v>0.76733760947545326</v>
      </c>
      <c r="C421" s="2">
        <f t="shared" ca="1" si="13"/>
        <v>9</v>
      </c>
    </row>
    <row r="422" spans="1:3" ht="14.5" x14ac:dyDescent="0.25">
      <c r="A422" s="1">
        <v>420</v>
      </c>
      <c r="B422" s="3">
        <f t="shared" ca="1" si="14"/>
        <v>0.84866265412529107</v>
      </c>
      <c r="C422" s="2">
        <f t="shared" ca="1" si="13"/>
        <v>10</v>
      </c>
    </row>
    <row r="423" spans="1:3" ht="14.5" x14ac:dyDescent="0.25">
      <c r="A423" s="1">
        <v>421</v>
      </c>
      <c r="B423" s="3">
        <f t="shared" ca="1" si="14"/>
        <v>0.1282163848362996</v>
      </c>
      <c r="C423" s="2">
        <f t="shared" ca="1" si="13"/>
        <v>6</v>
      </c>
    </row>
    <row r="424" spans="1:3" ht="14.5" x14ac:dyDescent="0.25">
      <c r="A424" s="1">
        <v>422</v>
      </c>
      <c r="B424" s="3">
        <f t="shared" ca="1" si="14"/>
        <v>0.62038854850092329</v>
      </c>
      <c r="C424" s="2">
        <f t="shared" ca="1" si="13"/>
        <v>9</v>
      </c>
    </row>
    <row r="425" spans="1:3" ht="14.5" x14ac:dyDescent="0.25">
      <c r="A425" s="1">
        <v>423</v>
      </c>
      <c r="B425" s="3">
        <f t="shared" ca="1" si="14"/>
        <v>0.97055772542693308</v>
      </c>
      <c r="C425" s="2">
        <f t="shared" ca="1" si="13"/>
        <v>12</v>
      </c>
    </row>
    <row r="426" spans="1:3" ht="14.5" x14ac:dyDescent="0.25">
      <c r="A426" s="1">
        <v>424</v>
      </c>
      <c r="B426" s="3">
        <f t="shared" ca="1" si="14"/>
        <v>0.69931129690068816</v>
      </c>
      <c r="C426" s="2">
        <f t="shared" ca="1" si="13"/>
        <v>9</v>
      </c>
    </row>
    <row r="427" spans="1:3" ht="14.5" x14ac:dyDescent="0.25">
      <c r="A427" s="1">
        <v>425</v>
      </c>
      <c r="B427" s="3">
        <f t="shared" ca="1" si="14"/>
        <v>0.25827616179364365</v>
      </c>
      <c r="C427" s="2">
        <f t="shared" ca="1" si="13"/>
        <v>7</v>
      </c>
    </row>
    <row r="428" spans="1:3" ht="14.5" x14ac:dyDescent="0.25">
      <c r="A428" s="1">
        <v>426</v>
      </c>
      <c r="B428" s="3">
        <f t="shared" ca="1" si="14"/>
        <v>0.99590714552844173</v>
      </c>
      <c r="C428" s="2">
        <f t="shared" ca="1" si="13"/>
        <v>13</v>
      </c>
    </row>
    <row r="429" spans="1:3" ht="14.5" x14ac:dyDescent="0.25">
      <c r="A429" s="1">
        <v>427</v>
      </c>
      <c r="B429" s="3">
        <f t="shared" ca="1" si="14"/>
        <v>0.83214052783277714</v>
      </c>
      <c r="C429" s="2">
        <f t="shared" ca="1" si="13"/>
        <v>10</v>
      </c>
    </row>
    <row r="430" spans="1:3" ht="14.5" x14ac:dyDescent="0.25">
      <c r="A430" s="1">
        <v>428</v>
      </c>
      <c r="B430" s="3">
        <f t="shared" ca="1" si="14"/>
        <v>0.42697097825497565</v>
      </c>
      <c r="C430" s="2">
        <f t="shared" ca="1" si="13"/>
        <v>8</v>
      </c>
    </row>
    <row r="431" spans="1:3" ht="14.5" x14ac:dyDescent="0.25">
      <c r="A431" s="1">
        <v>429</v>
      </c>
      <c r="B431" s="3">
        <f t="shared" ca="1" si="14"/>
        <v>2.0966242726491169E-2</v>
      </c>
      <c r="C431" s="2">
        <f t="shared" ca="1" si="13"/>
        <v>4</v>
      </c>
    </row>
    <row r="432" spans="1:3" ht="14.5" x14ac:dyDescent="0.25">
      <c r="A432" s="1">
        <v>430</v>
      </c>
      <c r="B432" s="3">
        <f t="shared" ca="1" si="14"/>
        <v>0.63663896007195175</v>
      </c>
      <c r="C432" s="2">
        <f t="shared" ca="1" si="13"/>
        <v>9</v>
      </c>
    </row>
    <row r="433" spans="1:3" ht="14.5" x14ac:dyDescent="0.25">
      <c r="A433" s="1">
        <v>431</v>
      </c>
      <c r="B433" s="3">
        <f t="shared" ca="1" si="14"/>
        <v>0.60333043318780377</v>
      </c>
      <c r="C433" s="2">
        <f t="shared" ca="1" si="13"/>
        <v>9</v>
      </c>
    </row>
    <row r="434" spans="1:3" ht="14.5" x14ac:dyDescent="0.25">
      <c r="A434" s="1">
        <v>432</v>
      </c>
      <c r="B434" s="3">
        <f t="shared" ca="1" si="14"/>
        <v>0.91231461757904397</v>
      </c>
      <c r="C434" s="2">
        <f t="shared" ca="1" si="13"/>
        <v>11</v>
      </c>
    </row>
    <row r="435" spans="1:3" ht="14.5" x14ac:dyDescent="0.25">
      <c r="A435" s="1">
        <v>433</v>
      </c>
      <c r="B435" s="3">
        <f t="shared" ca="1" si="14"/>
        <v>0.43094943139298136</v>
      </c>
      <c r="C435" s="2">
        <f t="shared" ca="1" si="13"/>
        <v>8</v>
      </c>
    </row>
    <row r="436" spans="1:3" ht="14.5" x14ac:dyDescent="0.25">
      <c r="A436" s="1">
        <v>434</v>
      </c>
      <c r="B436" s="3">
        <f t="shared" ca="1" si="14"/>
        <v>7.0176766329343332E-2</v>
      </c>
      <c r="C436" s="2">
        <f t="shared" ca="1" si="13"/>
        <v>5</v>
      </c>
    </row>
    <row r="437" spans="1:3" ht="14.5" x14ac:dyDescent="0.25">
      <c r="A437" s="1">
        <v>435</v>
      </c>
      <c r="B437" s="3">
        <f t="shared" ca="1" si="14"/>
        <v>0.92427854212658267</v>
      </c>
      <c r="C437" s="2">
        <f t="shared" ca="1" si="13"/>
        <v>11</v>
      </c>
    </row>
    <row r="438" spans="1:3" ht="14.5" x14ac:dyDescent="0.25">
      <c r="A438" s="1">
        <v>436</v>
      </c>
      <c r="B438" s="3">
        <f t="shared" ca="1" si="14"/>
        <v>0.16642225230334429</v>
      </c>
      <c r="C438" s="2">
        <f t="shared" ca="1" si="13"/>
        <v>6</v>
      </c>
    </row>
    <row r="439" spans="1:3" ht="14.5" x14ac:dyDescent="0.25">
      <c r="A439" s="1">
        <v>437</v>
      </c>
      <c r="B439" s="3">
        <f t="shared" ca="1" si="14"/>
        <v>0.46134307394114071</v>
      </c>
      <c r="C439" s="2">
        <f t="shared" ca="1" si="13"/>
        <v>8</v>
      </c>
    </row>
    <row r="440" spans="1:3" ht="14.5" x14ac:dyDescent="0.25">
      <c r="A440" s="1">
        <v>438</v>
      </c>
      <c r="B440" s="3">
        <f t="shared" ca="1" si="14"/>
        <v>0.6285315036647281</v>
      </c>
      <c r="C440" s="2">
        <f t="shared" ca="1" si="13"/>
        <v>9</v>
      </c>
    </row>
    <row r="441" spans="1:3" ht="14.5" x14ac:dyDescent="0.25">
      <c r="A441" s="1">
        <v>439</v>
      </c>
      <c r="B441" s="3">
        <f t="shared" ca="1" si="14"/>
        <v>0.25806340995370902</v>
      </c>
      <c r="C441" s="2">
        <f t="shared" ca="1" si="13"/>
        <v>7</v>
      </c>
    </row>
    <row r="442" spans="1:3" ht="14.5" x14ac:dyDescent="0.25">
      <c r="A442" s="1">
        <v>440</v>
      </c>
      <c r="B442" s="3">
        <f t="shared" ca="1" si="14"/>
        <v>0.6330793263235831</v>
      </c>
      <c r="C442" s="2">
        <f t="shared" ca="1" si="13"/>
        <v>9</v>
      </c>
    </row>
    <row r="443" spans="1:3" ht="14.5" x14ac:dyDescent="0.25">
      <c r="A443" s="1">
        <v>441</v>
      </c>
      <c r="B443" s="3">
        <f t="shared" ca="1" si="14"/>
        <v>2.4316551162530842E-2</v>
      </c>
      <c r="C443" s="2">
        <f t="shared" ca="1" si="13"/>
        <v>4</v>
      </c>
    </row>
    <row r="444" spans="1:3" ht="14.5" x14ac:dyDescent="0.25">
      <c r="A444" s="1">
        <v>442</v>
      </c>
      <c r="B444" s="3">
        <f t="shared" ca="1" si="14"/>
        <v>0.23470235729221012</v>
      </c>
      <c r="C444" s="2">
        <f t="shared" ca="1" si="13"/>
        <v>7</v>
      </c>
    </row>
    <row r="445" spans="1:3" ht="14.5" x14ac:dyDescent="0.25">
      <c r="A445" s="1">
        <v>443</v>
      </c>
      <c r="B445" s="3">
        <f t="shared" ca="1" si="14"/>
        <v>0.24795140297977059</v>
      </c>
      <c r="C445" s="2">
        <f t="shared" ca="1" si="13"/>
        <v>7</v>
      </c>
    </row>
    <row r="446" spans="1:3" ht="14.5" x14ac:dyDescent="0.25">
      <c r="A446" s="1">
        <v>444</v>
      </c>
      <c r="B446" s="3">
        <f t="shared" ca="1" si="14"/>
        <v>2.0042993014341648E-2</v>
      </c>
      <c r="C446" s="2">
        <f t="shared" ca="1" si="13"/>
        <v>4</v>
      </c>
    </row>
    <row r="447" spans="1:3" ht="14.5" x14ac:dyDescent="0.25">
      <c r="A447" s="1">
        <v>445</v>
      </c>
      <c r="B447" s="3">
        <f t="shared" ca="1" si="14"/>
        <v>0.74028911831003097</v>
      </c>
      <c r="C447" s="2">
        <f t="shared" ca="1" si="13"/>
        <v>9</v>
      </c>
    </row>
    <row r="448" spans="1:3" ht="14.5" x14ac:dyDescent="0.25">
      <c r="A448" s="1">
        <v>446</v>
      </c>
      <c r="B448" s="3">
        <f t="shared" ca="1" si="14"/>
        <v>0.29262102719739735</v>
      </c>
      <c r="C448" s="2">
        <f t="shared" ca="1" si="13"/>
        <v>7</v>
      </c>
    </row>
    <row r="449" spans="1:3" ht="14.5" x14ac:dyDescent="0.25">
      <c r="A449" s="1">
        <v>447</v>
      </c>
      <c r="B449" s="3">
        <f t="shared" ca="1" si="14"/>
        <v>0.73595568235653586</v>
      </c>
      <c r="C449" s="2">
        <f t="shared" ca="1" si="13"/>
        <v>9</v>
      </c>
    </row>
    <row r="450" spans="1:3" ht="14.5" x14ac:dyDescent="0.25">
      <c r="A450" s="1">
        <v>448</v>
      </c>
      <c r="B450" s="3">
        <f t="shared" ca="1" si="14"/>
        <v>0.74349240800437832</v>
      </c>
      <c r="C450" s="2">
        <f t="shared" ca="1" si="13"/>
        <v>9</v>
      </c>
    </row>
    <row r="451" spans="1:3" ht="14.5" x14ac:dyDescent="0.25">
      <c r="A451" s="1">
        <v>449</v>
      </c>
      <c r="B451" s="3">
        <f t="shared" ca="1" si="14"/>
        <v>0.18157285229417908</v>
      </c>
      <c r="C451" s="2">
        <f t="shared" ca="1" si="13"/>
        <v>6</v>
      </c>
    </row>
    <row r="452" spans="1:3" ht="14.5" x14ac:dyDescent="0.25">
      <c r="A452" s="1">
        <v>450</v>
      </c>
      <c r="B452" s="3">
        <f t="shared" ca="1" si="14"/>
        <v>0.62034193139098137</v>
      </c>
      <c r="C452" s="2">
        <f t="shared" ref="C452:C502" ca="1" si="15">ROUND(_xlfn.NORM.INV(B452,$H$3,$I$3),0)</f>
        <v>9</v>
      </c>
    </row>
    <row r="453" spans="1:3" ht="14.5" x14ac:dyDescent="0.25">
      <c r="A453" s="1">
        <v>451</v>
      </c>
      <c r="B453" s="3">
        <f t="shared" ref="B453:B502" ca="1" si="16">RAND()</f>
        <v>0.63425356923648846</v>
      </c>
      <c r="C453" s="2">
        <f t="shared" ca="1" si="15"/>
        <v>9</v>
      </c>
    </row>
    <row r="454" spans="1:3" ht="14.5" x14ac:dyDescent="0.25">
      <c r="A454" s="1">
        <v>452</v>
      </c>
      <c r="B454" s="3">
        <f t="shared" ca="1" si="16"/>
        <v>0.70508672374699788</v>
      </c>
      <c r="C454" s="2">
        <f t="shared" ca="1" si="15"/>
        <v>9</v>
      </c>
    </row>
    <row r="455" spans="1:3" ht="14.5" x14ac:dyDescent="0.25">
      <c r="A455" s="1">
        <v>453</v>
      </c>
      <c r="B455" s="3">
        <f t="shared" ca="1" si="16"/>
        <v>0.96619784943949905</v>
      </c>
      <c r="C455" s="2">
        <f t="shared" ca="1" si="15"/>
        <v>12</v>
      </c>
    </row>
    <row r="456" spans="1:3" ht="14.5" x14ac:dyDescent="0.25">
      <c r="A456" s="1">
        <v>454</v>
      </c>
      <c r="B456" s="3">
        <f t="shared" ca="1" si="16"/>
        <v>0.56764503652238563</v>
      </c>
      <c r="C456" s="2">
        <f t="shared" ca="1" si="15"/>
        <v>8</v>
      </c>
    </row>
    <row r="457" spans="1:3" ht="14.5" x14ac:dyDescent="0.25">
      <c r="A457" s="1">
        <v>455</v>
      </c>
      <c r="B457" s="3">
        <f t="shared" ca="1" si="16"/>
        <v>0.16966112096404651</v>
      </c>
      <c r="C457" s="2">
        <f t="shared" ca="1" si="15"/>
        <v>6</v>
      </c>
    </row>
    <row r="458" spans="1:3" ht="14.5" x14ac:dyDescent="0.25">
      <c r="A458" s="1">
        <v>456</v>
      </c>
      <c r="B458" s="3">
        <f t="shared" ca="1" si="16"/>
        <v>0.44044594278938232</v>
      </c>
      <c r="C458" s="2">
        <f t="shared" ca="1" si="15"/>
        <v>8</v>
      </c>
    </row>
    <row r="459" spans="1:3" ht="14.5" x14ac:dyDescent="0.25">
      <c r="A459" s="1">
        <v>457</v>
      </c>
      <c r="B459" s="3">
        <f t="shared" ca="1" si="16"/>
        <v>0.1515958675770348</v>
      </c>
      <c r="C459" s="2">
        <f t="shared" ca="1" si="15"/>
        <v>6</v>
      </c>
    </row>
    <row r="460" spans="1:3" ht="14.5" x14ac:dyDescent="0.25">
      <c r="A460" s="1">
        <v>458</v>
      </c>
      <c r="B460" s="3">
        <f t="shared" ca="1" si="16"/>
        <v>0.11411147524404097</v>
      </c>
      <c r="C460" s="2">
        <f t="shared" ca="1" si="15"/>
        <v>6</v>
      </c>
    </row>
    <row r="461" spans="1:3" ht="14.5" x14ac:dyDescent="0.25">
      <c r="A461" s="1">
        <v>459</v>
      </c>
      <c r="B461" s="3">
        <f t="shared" ca="1" si="16"/>
        <v>0.31294765334887631</v>
      </c>
      <c r="C461" s="2">
        <f t="shared" ca="1" si="15"/>
        <v>7</v>
      </c>
    </row>
    <row r="462" spans="1:3" ht="14.5" x14ac:dyDescent="0.25">
      <c r="A462" s="1">
        <v>460</v>
      </c>
      <c r="B462" s="3">
        <f t="shared" ca="1" si="16"/>
        <v>0.36969307451286604</v>
      </c>
      <c r="C462" s="2">
        <f t="shared" ca="1" si="15"/>
        <v>7</v>
      </c>
    </row>
    <row r="463" spans="1:3" ht="14.5" x14ac:dyDescent="0.25">
      <c r="A463" s="1">
        <v>461</v>
      </c>
      <c r="B463" s="3">
        <f t="shared" ca="1" si="16"/>
        <v>0.50571003188775709</v>
      </c>
      <c r="C463" s="2">
        <f t="shared" ca="1" si="15"/>
        <v>8</v>
      </c>
    </row>
    <row r="464" spans="1:3" ht="14.5" x14ac:dyDescent="0.25">
      <c r="A464" s="1">
        <v>462</v>
      </c>
      <c r="B464" s="3">
        <f t="shared" ca="1" si="16"/>
        <v>0.81312156819473158</v>
      </c>
      <c r="C464" s="2">
        <f t="shared" ca="1" si="15"/>
        <v>10</v>
      </c>
    </row>
    <row r="465" spans="1:3" ht="14.5" x14ac:dyDescent="0.25">
      <c r="A465" s="1">
        <v>463</v>
      </c>
      <c r="B465" s="3">
        <f t="shared" ca="1" si="16"/>
        <v>0.34967054607900483</v>
      </c>
      <c r="C465" s="2">
        <f t="shared" ca="1" si="15"/>
        <v>7</v>
      </c>
    </row>
    <row r="466" spans="1:3" ht="14.5" x14ac:dyDescent="0.25">
      <c r="A466" s="1">
        <v>464</v>
      </c>
      <c r="B466" s="3">
        <f t="shared" ca="1" si="16"/>
        <v>0.35419649923743979</v>
      </c>
      <c r="C466" s="2">
        <f t="shared" ca="1" si="15"/>
        <v>7</v>
      </c>
    </row>
    <row r="467" spans="1:3" ht="14.5" x14ac:dyDescent="0.25">
      <c r="A467" s="1">
        <v>465</v>
      </c>
      <c r="B467" s="3">
        <f t="shared" ca="1" si="16"/>
        <v>0.98603723905391227</v>
      </c>
      <c r="C467" s="2">
        <f t="shared" ca="1" si="15"/>
        <v>12</v>
      </c>
    </row>
    <row r="468" spans="1:3" ht="14.5" x14ac:dyDescent="0.25">
      <c r="A468" s="1">
        <v>466</v>
      </c>
      <c r="B468" s="3">
        <f t="shared" ca="1" si="16"/>
        <v>0.41662755661534467</v>
      </c>
      <c r="C468" s="2">
        <f t="shared" ca="1" si="15"/>
        <v>8</v>
      </c>
    </row>
    <row r="469" spans="1:3" ht="14.5" x14ac:dyDescent="0.25">
      <c r="A469" s="1">
        <v>467</v>
      </c>
      <c r="B469" s="3">
        <f t="shared" ca="1" si="16"/>
        <v>0.36015782825863119</v>
      </c>
      <c r="C469" s="2">
        <f t="shared" ca="1" si="15"/>
        <v>7</v>
      </c>
    </row>
    <row r="470" spans="1:3" ht="14.5" x14ac:dyDescent="0.25">
      <c r="A470" s="1">
        <v>468</v>
      </c>
      <c r="B470" s="3">
        <f t="shared" ca="1" si="16"/>
        <v>0.23835749914719928</v>
      </c>
      <c r="C470" s="2">
        <f t="shared" ca="1" si="15"/>
        <v>7</v>
      </c>
    </row>
    <row r="471" spans="1:3" ht="14.5" x14ac:dyDescent="0.25">
      <c r="A471" s="1">
        <v>469</v>
      </c>
      <c r="B471" s="3">
        <f t="shared" ca="1" si="16"/>
        <v>0.59979982595299486</v>
      </c>
      <c r="C471" s="2">
        <f t="shared" ca="1" si="15"/>
        <v>9</v>
      </c>
    </row>
    <row r="472" spans="1:3" ht="14.5" x14ac:dyDescent="0.25">
      <c r="A472" s="1">
        <v>470</v>
      </c>
      <c r="B472" s="3">
        <f t="shared" ca="1" si="16"/>
        <v>0.17948187900740387</v>
      </c>
      <c r="C472" s="2">
        <f t="shared" ca="1" si="15"/>
        <v>6</v>
      </c>
    </row>
    <row r="473" spans="1:3" ht="14.5" x14ac:dyDescent="0.25">
      <c r="A473" s="1">
        <v>471</v>
      </c>
      <c r="B473" s="3">
        <f t="shared" ca="1" si="16"/>
        <v>0.69187971252071401</v>
      </c>
      <c r="C473" s="2">
        <f t="shared" ca="1" si="15"/>
        <v>9</v>
      </c>
    </row>
    <row r="474" spans="1:3" ht="14.5" x14ac:dyDescent="0.25">
      <c r="A474" s="1">
        <v>472</v>
      </c>
      <c r="B474" s="3">
        <f t="shared" ca="1" si="16"/>
        <v>0.98350395719620343</v>
      </c>
      <c r="C474" s="2">
        <f t="shared" ca="1" si="15"/>
        <v>12</v>
      </c>
    </row>
    <row r="475" spans="1:3" ht="14.5" x14ac:dyDescent="0.25">
      <c r="A475" s="1">
        <v>473</v>
      </c>
      <c r="B475" s="3">
        <f t="shared" ca="1" si="16"/>
        <v>0.94139867454970683</v>
      </c>
      <c r="C475" s="2">
        <f t="shared" ca="1" si="15"/>
        <v>11</v>
      </c>
    </row>
    <row r="476" spans="1:3" ht="14.5" x14ac:dyDescent="0.25">
      <c r="A476" s="1">
        <v>474</v>
      </c>
      <c r="B476" s="3">
        <f t="shared" ca="1" si="16"/>
        <v>0.56686111547713747</v>
      </c>
      <c r="C476" s="2">
        <f t="shared" ca="1" si="15"/>
        <v>8</v>
      </c>
    </row>
    <row r="477" spans="1:3" ht="14.5" x14ac:dyDescent="0.25">
      <c r="A477" s="1">
        <v>475</v>
      </c>
      <c r="B477" s="3">
        <f t="shared" ca="1" si="16"/>
        <v>5.9892358613942154E-3</v>
      </c>
      <c r="C477" s="2">
        <f t="shared" ca="1" si="15"/>
        <v>3</v>
      </c>
    </row>
    <row r="478" spans="1:3" ht="14.5" x14ac:dyDescent="0.25">
      <c r="A478" s="1">
        <v>476</v>
      </c>
      <c r="B478" s="3">
        <f t="shared" ca="1" si="16"/>
        <v>0.36321695576411417</v>
      </c>
      <c r="C478" s="2">
        <f t="shared" ca="1" si="15"/>
        <v>7</v>
      </c>
    </row>
    <row r="479" spans="1:3" ht="14.5" x14ac:dyDescent="0.25">
      <c r="A479" s="1">
        <v>477</v>
      </c>
      <c r="B479" s="3">
        <f t="shared" ca="1" si="16"/>
        <v>0.90977924986077618</v>
      </c>
      <c r="C479" s="2">
        <f t="shared" ca="1" si="15"/>
        <v>11</v>
      </c>
    </row>
    <row r="480" spans="1:3" ht="14.5" x14ac:dyDescent="0.25">
      <c r="A480" s="1">
        <v>478</v>
      </c>
      <c r="B480" s="3">
        <f t="shared" ca="1" si="16"/>
        <v>0.36229689776189844</v>
      </c>
      <c r="C480" s="2">
        <f t="shared" ca="1" si="15"/>
        <v>7</v>
      </c>
    </row>
    <row r="481" spans="1:3" ht="14.5" x14ac:dyDescent="0.25">
      <c r="A481" s="1">
        <v>479</v>
      </c>
      <c r="B481" s="3">
        <f t="shared" ca="1" si="16"/>
        <v>0.98609336149198312</v>
      </c>
      <c r="C481" s="2">
        <f t="shared" ca="1" si="15"/>
        <v>12</v>
      </c>
    </row>
    <row r="482" spans="1:3" ht="14.5" x14ac:dyDescent="0.25">
      <c r="A482" s="1">
        <v>480</v>
      </c>
      <c r="B482" s="3">
        <f t="shared" ca="1" si="16"/>
        <v>0.66020113892377397</v>
      </c>
      <c r="C482" s="2">
        <f t="shared" ca="1" si="15"/>
        <v>9</v>
      </c>
    </row>
    <row r="483" spans="1:3" ht="14.5" x14ac:dyDescent="0.25">
      <c r="A483" s="1">
        <v>481</v>
      </c>
      <c r="B483" s="3">
        <f t="shared" ca="1" si="16"/>
        <v>0.15153207879265251</v>
      </c>
      <c r="C483" s="2">
        <f t="shared" ca="1" si="15"/>
        <v>6</v>
      </c>
    </row>
    <row r="484" spans="1:3" ht="14.5" x14ac:dyDescent="0.25">
      <c r="A484" s="1">
        <v>482</v>
      </c>
      <c r="B484" s="3">
        <f t="shared" ca="1" si="16"/>
        <v>0.68589065845974684</v>
      </c>
      <c r="C484" s="2">
        <f t="shared" ca="1" si="15"/>
        <v>9</v>
      </c>
    </row>
    <row r="485" spans="1:3" ht="14.5" x14ac:dyDescent="0.25">
      <c r="A485" s="1">
        <v>483</v>
      </c>
      <c r="B485" s="3">
        <f t="shared" ca="1" si="16"/>
        <v>0.55352239437162776</v>
      </c>
      <c r="C485" s="2">
        <f t="shared" ca="1" si="15"/>
        <v>8</v>
      </c>
    </row>
    <row r="486" spans="1:3" ht="14.5" x14ac:dyDescent="0.25">
      <c r="A486" s="1">
        <v>484</v>
      </c>
      <c r="B486" s="3">
        <f t="shared" ca="1" si="16"/>
        <v>0.38765260265629597</v>
      </c>
      <c r="C486" s="2">
        <f t="shared" ca="1" si="15"/>
        <v>7</v>
      </c>
    </row>
    <row r="487" spans="1:3" ht="14.5" x14ac:dyDescent="0.25">
      <c r="A487" s="1">
        <v>485</v>
      </c>
      <c r="B487" s="3">
        <f t="shared" ca="1" si="16"/>
        <v>0.5333151599046958</v>
      </c>
      <c r="C487" s="2">
        <f t="shared" ca="1" si="15"/>
        <v>8</v>
      </c>
    </row>
    <row r="488" spans="1:3" ht="14.5" x14ac:dyDescent="0.25">
      <c r="A488" s="1">
        <v>486</v>
      </c>
      <c r="B488" s="3">
        <f t="shared" ca="1" si="16"/>
        <v>0.31332960168751423</v>
      </c>
      <c r="C488" s="2">
        <f t="shared" ca="1" si="15"/>
        <v>7</v>
      </c>
    </row>
    <row r="489" spans="1:3" ht="14.5" x14ac:dyDescent="0.25">
      <c r="A489" s="1">
        <v>487</v>
      </c>
      <c r="B489" s="3">
        <f t="shared" ca="1" si="16"/>
        <v>0.82213000982243556</v>
      </c>
      <c r="C489" s="2">
        <f t="shared" ca="1" si="15"/>
        <v>10</v>
      </c>
    </row>
    <row r="490" spans="1:3" ht="14.5" x14ac:dyDescent="0.25">
      <c r="A490" s="1">
        <v>488</v>
      </c>
      <c r="B490" s="3">
        <f t="shared" ca="1" si="16"/>
        <v>0.24355359205485905</v>
      </c>
      <c r="C490" s="2">
        <f t="shared" ca="1" si="15"/>
        <v>7</v>
      </c>
    </row>
    <row r="491" spans="1:3" ht="14.5" x14ac:dyDescent="0.25">
      <c r="A491" s="1">
        <v>489</v>
      </c>
      <c r="B491" s="3">
        <f t="shared" ca="1" si="16"/>
        <v>0.50398827342101593</v>
      </c>
      <c r="C491" s="2">
        <f t="shared" ca="1" si="15"/>
        <v>8</v>
      </c>
    </row>
    <row r="492" spans="1:3" ht="14.5" x14ac:dyDescent="0.25">
      <c r="A492" s="1">
        <v>490</v>
      </c>
      <c r="B492" s="3">
        <f t="shared" ca="1" si="16"/>
        <v>0.21486200968844371</v>
      </c>
      <c r="C492" s="2">
        <f t="shared" ca="1" si="15"/>
        <v>6</v>
      </c>
    </row>
    <row r="493" spans="1:3" ht="14.5" x14ac:dyDescent="0.25">
      <c r="A493" s="1">
        <v>491</v>
      </c>
      <c r="B493" s="3">
        <f t="shared" ca="1" si="16"/>
        <v>0.48085883167940702</v>
      </c>
      <c r="C493" s="2">
        <f t="shared" ca="1" si="15"/>
        <v>8</v>
      </c>
    </row>
    <row r="494" spans="1:3" ht="14.5" x14ac:dyDescent="0.25">
      <c r="A494" s="1">
        <v>492</v>
      </c>
      <c r="B494" s="3">
        <f t="shared" ca="1" si="16"/>
        <v>0.77363239328679823</v>
      </c>
      <c r="C494" s="2">
        <f t="shared" ca="1" si="15"/>
        <v>10</v>
      </c>
    </row>
    <row r="495" spans="1:3" ht="14.5" x14ac:dyDescent="0.25">
      <c r="A495" s="1">
        <v>493</v>
      </c>
      <c r="B495" s="3">
        <f t="shared" ca="1" si="16"/>
        <v>0.63861551518001403</v>
      </c>
      <c r="C495" s="2">
        <f t="shared" ca="1" si="15"/>
        <v>9</v>
      </c>
    </row>
    <row r="496" spans="1:3" ht="14.5" x14ac:dyDescent="0.25">
      <c r="A496" s="1">
        <v>494</v>
      </c>
      <c r="B496" s="3">
        <f t="shared" ca="1" si="16"/>
        <v>0.28237790148189468</v>
      </c>
      <c r="C496" s="2">
        <f t="shared" ca="1" si="15"/>
        <v>7</v>
      </c>
    </row>
    <row r="497" spans="1:3" ht="14.5" x14ac:dyDescent="0.25">
      <c r="A497" s="1">
        <v>495</v>
      </c>
      <c r="B497" s="3">
        <f t="shared" ca="1" si="16"/>
        <v>0.77206424085407854</v>
      </c>
      <c r="C497" s="2">
        <f t="shared" ca="1" si="15"/>
        <v>9</v>
      </c>
    </row>
    <row r="498" spans="1:3" ht="14.5" x14ac:dyDescent="0.25">
      <c r="A498" s="1">
        <v>496</v>
      </c>
      <c r="B498" s="3">
        <f t="shared" ca="1" si="16"/>
        <v>0.1981783333334427</v>
      </c>
      <c r="C498" s="2">
        <f t="shared" ca="1" si="15"/>
        <v>6</v>
      </c>
    </row>
    <row r="499" spans="1:3" ht="14.5" x14ac:dyDescent="0.25">
      <c r="A499" s="1">
        <v>497</v>
      </c>
      <c r="B499" s="3">
        <f t="shared" ca="1" si="16"/>
        <v>0.34037302869978892</v>
      </c>
      <c r="C499" s="2">
        <f t="shared" ca="1" si="15"/>
        <v>7</v>
      </c>
    </row>
    <row r="500" spans="1:3" ht="14.5" x14ac:dyDescent="0.25">
      <c r="A500" s="1">
        <v>498</v>
      </c>
      <c r="B500" s="3">
        <f t="shared" ca="1" si="16"/>
        <v>0.69661925092140953</v>
      </c>
      <c r="C500" s="2">
        <f t="shared" ca="1" si="15"/>
        <v>9</v>
      </c>
    </row>
    <row r="501" spans="1:3" ht="14.5" x14ac:dyDescent="0.25">
      <c r="A501" s="1">
        <v>499</v>
      </c>
      <c r="B501" s="3">
        <f t="shared" ca="1" si="16"/>
        <v>2.5171680055800949E-2</v>
      </c>
      <c r="C501" s="2">
        <f t="shared" ca="1" si="15"/>
        <v>4</v>
      </c>
    </row>
    <row r="502" spans="1:3" ht="14.5" x14ac:dyDescent="0.25">
      <c r="A502" s="1">
        <v>500</v>
      </c>
      <c r="B502" s="3">
        <f t="shared" ca="1" si="16"/>
        <v>0.17913229005998332</v>
      </c>
      <c r="C502" s="2">
        <f t="shared" ca="1" si="15"/>
        <v>6</v>
      </c>
    </row>
  </sheetData>
  <mergeCells count="1">
    <mergeCell ref="H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tabSelected="1" topLeftCell="C1" zoomScale="120" zoomScaleNormal="120" workbookViewId="0">
      <selection activeCell="J11" sqref="J11"/>
    </sheetView>
  </sheetViews>
  <sheetFormatPr defaultRowHeight="12.5" x14ac:dyDescent="0.25"/>
  <cols>
    <col min="1" max="1" width="15" customWidth="1"/>
    <col min="2" max="2" width="15.1796875" customWidth="1"/>
    <col min="4" max="4" width="14.7265625" customWidth="1"/>
    <col min="5" max="5" width="14.81640625" customWidth="1"/>
    <col min="6" max="6" width="16" customWidth="1"/>
    <col min="7" max="7" width="14.453125" customWidth="1"/>
    <col min="9" max="9" width="17.26953125" customWidth="1"/>
    <col min="10" max="10" width="21.7265625" customWidth="1"/>
    <col min="11" max="11" width="14.81640625" customWidth="1"/>
    <col min="12" max="12" width="10.81640625" customWidth="1"/>
    <col min="13" max="13" width="15" customWidth="1"/>
  </cols>
  <sheetData>
    <row r="1" spans="1:13" ht="15" thickBot="1" x14ac:dyDescent="0.35">
      <c r="A1" t="s">
        <v>7</v>
      </c>
      <c r="D1" s="2" t="s">
        <v>21</v>
      </c>
      <c r="E1" s="39" t="s">
        <v>44</v>
      </c>
      <c r="F1" s="9" t="s">
        <v>20</v>
      </c>
      <c r="G1" s="2"/>
      <c r="H1" s="47" t="s">
        <v>36</v>
      </c>
      <c r="I1" s="47"/>
      <c r="J1" s="43" t="s">
        <v>16</v>
      </c>
      <c r="K1" s="2"/>
      <c r="L1" s="46" t="s">
        <v>39</v>
      </c>
      <c r="M1" s="44" t="s">
        <v>11</v>
      </c>
    </row>
    <row r="2" spans="1:13" ht="14.5" x14ac:dyDescent="0.25">
      <c r="A2" t="s">
        <v>8</v>
      </c>
      <c r="B2" t="s">
        <v>9</v>
      </c>
      <c r="C2" t="s">
        <v>17</v>
      </c>
      <c r="D2" s="2" t="s">
        <v>10</v>
      </c>
      <c r="E2" s="9" t="s">
        <v>19</v>
      </c>
      <c r="F2" s="9" t="s">
        <v>19</v>
      </c>
      <c r="G2" s="2" t="s">
        <v>11</v>
      </c>
      <c r="H2" s="15" t="s">
        <v>34</v>
      </c>
      <c r="I2" s="14" t="s">
        <v>35</v>
      </c>
      <c r="J2" s="9" t="s">
        <v>13</v>
      </c>
      <c r="K2" s="18">
        <v>150</v>
      </c>
      <c r="L2">
        <v>7</v>
      </c>
      <c r="M2" s="45">
        <f ca="1">AVERAGE(G3:G102)</f>
        <v>14815</v>
      </c>
    </row>
    <row r="3" spans="1:13" ht="14.5" x14ac:dyDescent="0.25">
      <c r="A3">
        <v>1</v>
      </c>
      <c r="B3">
        <f ca="1">RAND()</f>
        <v>0.76723777311832808</v>
      </c>
      <c r="C3">
        <f ca="1">ROUND(_xlfn.NORM.INV(B3,$H$3,$I$3),0)</f>
        <v>9</v>
      </c>
      <c r="D3" s="45">
        <f>$K$2*$K$4</f>
        <v>15000</v>
      </c>
      <c r="E3">
        <f ca="1">-($K$3-$K$2)*MAX($L$2-C3,0)</f>
        <v>0</v>
      </c>
      <c r="F3">
        <f ca="1">-$K$2*MAX(C3-$L$2,0)</f>
        <v>-300</v>
      </c>
      <c r="G3" s="45">
        <f ca="1">SUM(D3:F3)</f>
        <v>14700</v>
      </c>
      <c r="H3" s="12">
        <v>8</v>
      </c>
      <c r="I3" s="10">
        <v>2</v>
      </c>
      <c r="J3" s="9" t="s">
        <v>14</v>
      </c>
      <c r="K3" s="16">
        <v>175</v>
      </c>
    </row>
    <row r="4" spans="1:13" ht="15" thickBot="1" x14ac:dyDescent="0.3">
      <c r="A4">
        <v>2</v>
      </c>
      <c r="B4">
        <f ca="1">RAND()</f>
        <v>0.43190342652056224</v>
      </c>
      <c r="C4">
        <f t="shared" ref="C4:C67" ca="1" si="0">ROUND(_xlfn.NORM.INV(B4,$H$3,$I$3),0)</f>
        <v>8</v>
      </c>
      <c r="D4" s="45">
        <f t="shared" ref="D4:D67" si="1">$K$2*$K$4</f>
        <v>15000</v>
      </c>
      <c r="E4">
        <f t="shared" ref="E4:E67" ca="1" si="2">-($K$3-$K$2)*MAX($L$2-C4,0)</f>
        <v>0</v>
      </c>
      <c r="F4">
        <f t="shared" ref="F4:F67" ca="1" si="3">-$K$2*MAX(C4-$L$2,0)</f>
        <v>-150</v>
      </c>
      <c r="G4" s="45">
        <f t="shared" ref="G4:G67" ca="1" si="4">SUM(D4:F4)</f>
        <v>14850</v>
      </c>
      <c r="H4" s="12"/>
      <c r="I4" s="10"/>
      <c r="J4" s="9" t="s">
        <v>12</v>
      </c>
      <c r="K4" s="13">
        <v>100</v>
      </c>
    </row>
    <row r="5" spans="1:13" ht="14.5" x14ac:dyDescent="0.25">
      <c r="A5">
        <v>3</v>
      </c>
      <c r="B5">
        <f t="shared" ref="B5:B68" ca="1" si="5">RAND()</f>
        <v>0.15325440814721947</v>
      </c>
      <c r="C5">
        <f t="shared" ca="1" si="0"/>
        <v>6</v>
      </c>
      <c r="D5" s="45">
        <f t="shared" si="1"/>
        <v>15000</v>
      </c>
      <c r="E5">
        <f t="shared" ca="1" si="2"/>
        <v>-25</v>
      </c>
      <c r="F5">
        <f t="shared" ca="1" si="3"/>
        <v>0</v>
      </c>
      <c r="G5" s="45">
        <f t="shared" ca="1" si="4"/>
        <v>14975</v>
      </c>
      <c r="H5" s="11"/>
      <c r="I5" s="10"/>
    </row>
    <row r="6" spans="1:13" ht="15" thickBot="1" x14ac:dyDescent="0.3">
      <c r="A6">
        <v>4</v>
      </c>
      <c r="B6">
        <f t="shared" ca="1" si="5"/>
        <v>9.607437404799557E-2</v>
      </c>
      <c r="C6">
        <f t="shared" ca="1" si="0"/>
        <v>5</v>
      </c>
      <c r="D6" s="45">
        <f t="shared" si="1"/>
        <v>15000</v>
      </c>
      <c r="E6">
        <f t="shared" ca="1" si="2"/>
        <v>-50</v>
      </c>
      <c r="F6">
        <f t="shared" ca="1" si="3"/>
        <v>0</v>
      </c>
      <c r="G6" s="45">
        <f t="shared" ca="1" si="4"/>
        <v>14950</v>
      </c>
      <c r="H6" s="7"/>
      <c r="I6" s="6"/>
    </row>
    <row r="7" spans="1:13" x14ac:dyDescent="0.25">
      <c r="A7">
        <v>5</v>
      </c>
      <c r="B7">
        <f t="shared" ca="1" si="5"/>
        <v>0.51556015480498518</v>
      </c>
      <c r="C7">
        <f t="shared" ca="1" si="0"/>
        <v>8</v>
      </c>
      <c r="D7" s="45">
        <f t="shared" si="1"/>
        <v>15000</v>
      </c>
      <c r="E7">
        <f t="shared" ca="1" si="2"/>
        <v>0</v>
      </c>
      <c r="F7">
        <f t="shared" ca="1" si="3"/>
        <v>-150</v>
      </c>
      <c r="G7" s="45">
        <f t="shared" ca="1" si="4"/>
        <v>14850</v>
      </c>
    </row>
    <row r="8" spans="1:13" x14ac:dyDescent="0.25">
      <c r="A8">
        <v>6</v>
      </c>
      <c r="B8">
        <f t="shared" ca="1" si="5"/>
        <v>0.77553235242450214</v>
      </c>
      <c r="C8">
        <f t="shared" ca="1" si="0"/>
        <v>10</v>
      </c>
      <c r="D8" s="45">
        <f t="shared" si="1"/>
        <v>15000</v>
      </c>
      <c r="E8">
        <f t="shared" ca="1" si="2"/>
        <v>0</v>
      </c>
      <c r="F8">
        <f t="shared" ca="1" si="3"/>
        <v>-450</v>
      </c>
      <c r="G8" s="45">
        <f t="shared" ca="1" si="4"/>
        <v>14550</v>
      </c>
    </row>
    <row r="9" spans="1:13" x14ac:dyDescent="0.25">
      <c r="A9">
        <v>7</v>
      </c>
      <c r="B9">
        <f t="shared" ca="1" si="5"/>
        <v>0.41796261922227551</v>
      </c>
      <c r="C9">
        <f t="shared" ca="1" si="0"/>
        <v>8</v>
      </c>
      <c r="D9" s="45">
        <f t="shared" si="1"/>
        <v>15000</v>
      </c>
      <c r="E9">
        <f t="shared" ca="1" si="2"/>
        <v>0</v>
      </c>
      <c r="F9">
        <f t="shared" ca="1" si="3"/>
        <v>-150</v>
      </c>
      <c r="G9" s="45">
        <f t="shared" ca="1" si="4"/>
        <v>14850</v>
      </c>
      <c r="L9" s="44" t="s">
        <v>40</v>
      </c>
      <c r="M9" s="44" t="s">
        <v>41</v>
      </c>
    </row>
    <row r="10" spans="1:13" x14ac:dyDescent="0.25">
      <c r="A10">
        <v>8</v>
      </c>
      <c r="B10">
        <f t="shared" ca="1" si="5"/>
        <v>0.20960578188144519</v>
      </c>
      <c r="C10">
        <f t="shared" ca="1" si="0"/>
        <v>6</v>
      </c>
      <c r="D10" s="45">
        <f t="shared" si="1"/>
        <v>15000</v>
      </c>
      <c r="E10">
        <f t="shared" ca="1" si="2"/>
        <v>-25</v>
      </c>
      <c r="F10">
        <f t="shared" ca="1" si="3"/>
        <v>0</v>
      </c>
      <c r="G10" s="45">
        <f t="shared" ca="1" si="4"/>
        <v>14975</v>
      </c>
      <c r="M10" s="45">
        <f ca="1">M2</f>
        <v>14815</v>
      </c>
    </row>
    <row r="11" spans="1:13" x14ac:dyDescent="0.25">
      <c r="A11">
        <v>9</v>
      </c>
      <c r="B11">
        <f t="shared" ca="1" si="5"/>
        <v>0.51082821127282352</v>
      </c>
      <c r="C11">
        <f t="shared" ca="1" si="0"/>
        <v>8</v>
      </c>
      <c r="D11" s="45">
        <f t="shared" si="1"/>
        <v>15000</v>
      </c>
      <c r="E11">
        <f t="shared" ca="1" si="2"/>
        <v>0</v>
      </c>
      <c r="F11">
        <f t="shared" ca="1" si="3"/>
        <v>-150</v>
      </c>
      <c r="G11" s="45">
        <f t="shared" ca="1" si="4"/>
        <v>14850</v>
      </c>
      <c r="L11">
        <v>3</v>
      </c>
      <c r="M11">
        <f t="dataTable" ref="M11:M21" dt2D="0" dtr="0" r1="L2" ca="1"/>
        <v>14254.5</v>
      </c>
    </row>
    <row r="12" spans="1:13" x14ac:dyDescent="0.25">
      <c r="A12">
        <v>10</v>
      </c>
      <c r="B12">
        <f t="shared" ca="1" si="5"/>
        <v>0.58125885595248827</v>
      </c>
      <c r="C12">
        <f t="shared" ca="1" si="0"/>
        <v>8</v>
      </c>
      <c r="D12" s="45">
        <f t="shared" si="1"/>
        <v>15000</v>
      </c>
      <c r="E12">
        <f t="shared" ca="1" si="2"/>
        <v>0</v>
      </c>
      <c r="F12">
        <f t="shared" ca="1" si="3"/>
        <v>-150</v>
      </c>
      <c r="G12" s="45">
        <f t="shared" ca="1" si="4"/>
        <v>14850</v>
      </c>
      <c r="L12">
        <v>4</v>
      </c>
      <c r="M12">
        <v>14452</v>
      </c>
    </row>
    <row r="13" spans="1:13" x14ac:dyDescent="0.25">
      <c r="A13">
        <v>11</v>
      </c>
      <c r="B13">
        <f t="shared" ca="1" si="5"/>
        <v>4.8303282496705013E-2</v>
      </c>
      <c r="C13">
        <f t="shared" ca="1" si="0"/>
        <v>5</v>
      </c>
      <c r="D13" s="45">
        <f t="shared" si="1"/>
        <v>15000</v>
      </c>
      <c r="E13">
        <f t="shared" ca="1" si="2"/>
        <v>-50</v>
      </c>
      <c r="F13">
        <f t="shared" ca="1" si="3"/>
        <v>0</v>
      </c>
      <c r="G13" s="45">
        <f t="shared" ca="1" si="4"/>
        <v>14950</v>
      </c>
      <c r="L13">
        <v>5</v>
      </c>
      <c r="M13">
        <v>14519</v>
      </c>
    </row>
    <row r="14" spans="1:13" x14ac:dyDescent="0.25">
      <c r="A14">
        <v>12</v>
      </c>
      <c r="B14">
        <f t="shared" ca="1" si="5"/>
        <v>0.21808910758618183</v>
      </c>
      <c r="C14">
        <f t="shared" ca="1" si="0"/>
        <v>6</v>
      </c>
      <c r="D14" s="45">
        <f t="shared" si="1"/>
        <v>15000</v>
      </c>
      <c r="E14">
        <f t="shared" ca="1" si="2"/>
        <v>-25</v>
      </c>
      <c r="F14">
        <f t="shared" ca="1" si="3"/>
        <v>0</v>
      </c>
      <c r="G14" s="45">
        <f t="shared" ca="1" si="4"/>
        <v>14975</v>
      </c>
      <c r="L14">
        <v>6</v>
      </c>
      <c r="M14">
        <v>14621.75</v>
      </c>
    </row>
    <row r="15" spans="1:13" x14ac:dyDescent="0.25">
      <c r="A15">
        <v>13</v>
      </c>
      <c r="B15">
        <f t="shared" ca="1" si="5"/>
        <v>0.50300798692583015</v>
      </c>
      <c r="C15">
        <f t="shared" ca="1" si="0"/>
        <v>8</v>
      </c>
      <c r="D15" s="45">
        <f t="shared" si="1"/>
        <v>15000</v>
      </c>
      <c r="E15">
        <f t="shared" ca="1" si="2"/>
        <v>0</v>
      </c>
      <c r="F15">
        <f t="shared" ca="1" si="3"/>
        <v>-150</v>
      </c>
      <c r="G15" s="45">
        <f t="shared" ca="1" si="4"/>
        <v>14850</v>
      </c>
      <c r="L15">
        <v>7</v>
      </c>
      <c r="M15">
        <v>14776.5</v>
      </c>
    </row>
    <row r="16" spans="1:13" x14ac:dyDescent="0.25">
      <c r="A16">
        <v>14</v>
      </c>
      <c r="B16">
        <f t="shared" ca="1" si="5"/>
        <v>0.60705270734404115</v>
      </c>
      <c r="C16">
        <f t="shared" ca="1" si="0"/>
        <v>9</v>
      </c>
      <c r="D16" s="45">
        <f t="shared" si="1"/>
        <v>15000</v>
      </c>
      <c r="E16">
        <f t="shared" ca="1" si="2"/>
        <v>0</v>
      </c>
      <c r="F16">
        <f t="shared" ca="1" si="3"/>
        <v>-300</v>
      </c>
      <c r="G16" s="45">
        <f t="shared" ca="1" si="4"/>
        <v>14700</v>
      </c>
      <c r="L16">
        <v>8</v>
      </c>
      <c r="M16">
        <v>14875.5</v>
      </c>
    </row>
    <row r="17" spans="1:13" x14ac:dyDescent="0.25">
      <c r="A17">
        <v>15</v>
      </c>
      <c r="B17">
        <f t="shared" ca="1" si="5"/>
        <v>0.90697462939262274</v>
      </c>
      <c r="C17">
        <f t="shared" ca="1" si="0"/>
        <v>11</v>
      </c>
      <c r="D17" s="45">
        <f t="shared" si="1"/>
        <v>15000</v>
      </c>
      <c r="E17">
        <f t="shared" ca="1" si="2"/>
        <v>0</v>
      </c>
      <c r="F17">
        <f t="shared" ca="1" si="3"/>
        <v>-600</v>
      </c>
      <c r="G17" s="45">
        <f t="shared" ca="1" si="4"/>
        <v>14400</v>
      </c>
      <c r="L17">
        <v>9</v>
      </c>
      <c r="M17">
        <v>14896.75</v>
      </c>
    </row>
    <row r="18" spans="1:13" x14ac:dyDescent="0.25">
      <c r="A18">
        <v>16</v>
      </c>
      <c r="B18">
        <f t="shared" ca="1" si="5"/>
        <v>0.66324414721522218</v>
      </c>
      <c r="C18">
        <f t="shared" ca="1" si="0"/>
        <v>9</v>
      </c>
      <c r="D18" s="45">
        <f t="shared" si="1"/>
        <v>15000</v>
      </c>
      <c r="E18">
        <f t="shared" ca="1" si="2"/>
        <v>0</v>
      </c>
      <c r="F18">
        <f t="shared" ca="1" si="3"/>
        <v>-300</v>
      </c>
      <c r="G18" s="45">
        <f t="shared" ca="1" si="4"/>
        <v>14700</v>
      </c>
      <c r="L18">
        <v>10</v>
      </c>
      <c r="M18">
        <v>14900.5</v>
      </c>
    </row>
    <row r="19" spans="1:13" x14ac:dyDescent="0.25">
      <c r="A19">
        <v>17</v>
      </c>
      <c r="B19">
        <f t="shared" ca="1" si="5"/>
        <v>0.37453138659055196</v>
      </c>
      <c r="C19">
        <f t="shared" ca="1" si="0"/>
        <v>7</v>
      </c>
      <c r="D19" s="45">
        <f t="shared" si="1"/>
        <v>15000</v>
      </c>
      <c r="E19">
        <f t="shared" ca="1" si="2"/>
        <v>0</v>
      </c>
      <c r="F19">
        <f t="shared" ca="1" si="3"/>
        <v>0</v>
      </c>
      <c r="G19" s="45">
        <f t="shared" ca="1" si="4"/>
        <v>15000</v>
      </c>
      <c r="L19">
        <v>11</v>
      </c>
      <c r="M19">
        <v>14924.75</v>
      </c>
    </row>
    <row r="20" spans="1:13" x14ac:dyDescent="0.25">
      <c r="A20">
        <v>18</v>
      </c>
      <c r="B20">
        <f t="shared" ca="1" si="5"/>
        <v>0.21428032213318715</v>
      </c>
      <c r="C20">
        <f t="shared" ca="1" si="0"/>
        <v>6</v>
      </c>
      <c r="D20" s="45">
        <f t="shared" si="1"/>
        <v>15000</v>
      </c>
      <c r="E20">
        <f t="shared" ca="1" si="2"/>
        <v>-25</v>
      </c>
      <c r="F20">
        <f t="shared" ca="1" si="3"/>
        <v>0</v>
      </c>
      <c r="G20" s="45">
        <f t="shared" ca="1" si="4"/>
        <v>14975</v>
      </c>
      <c r="L20">
        <v>12</v>
      </c>
      <c r="M20">
        <v>14899</v>
      </c>
    </row>
    <row r="21" spans="1:13" x14ac:dyDescent="0.25">
      <c r="A21">
        <v>19</v>
      </c>
      <c r="B21">
        <f t="shared" ca="1" si="5"/>
        <v>0.49751241589580286</v>
      </c>
      <c r="C21">
        <f t="shared" ca="1" si="0"/>
        <v>8</v>
      </c>
      <c r="D21" s="45">
        <f t="shared" si="1"/>
        <v>15000</v>
      </c>
      <c r="E21">
        <f t="shared" ca="1" si="2"/>
        <v>0</v>
      </c>
      <c r="F21">
        <f t="shared" ca="1" si="3"/>
        <v>-150</v>
      </c>
      <c r="G21" s="45">
        <f t="shared" ca="1" si="4"/>
        <v>14850</v>
      </c>
      <c r="L21">
        <v>13</v>
      </c>
      <c r="M21">
        <v>14877.75</v>
      </c>
    </row>
    <row r="22" spans="1:13" x14ac:dyDescent="0.25">
      <c r="A22">
        <v>20</v>
      </c>
      <c r="B22">
        <f t="shared" ca="1" si="5"/>
        <v>0.6006018245799406</v>
      </c>
      <c r="C22">
        <f t="shared" ca="1" si="0"/>
        <v>9</v>
      </c>
      <c r="D22" s="45">
        <f t="shared" si="1"/>
        <v>15000</v>
      </c>
      <c r="E22">
        <f t="shared" ca="1" si="2"/>
        <v>0</v>
      </c>
      <c r="F22">
        <f t="shared" ca="1" si="3"/>
        <v>-300</v>
      </c>
      <c r="G22" s="45">
        <f t="shared" ca="1" si="4"/>
        <v>14700</v>
      </c>
    </row>
    <row r="23" spans="1:13" x14ac:dyDescent="0.25">
      <c r="A23">
        <v>21</v>
      </c>
      <c r="B23">
        <f t="shared" ca="1" si="5"/>
        <v>0.17444486178279162</v>
      </c>
      <c r="C23">
        <f t="shared" ca="1" si="0"/>
        <v>6</v>
      </c>
      <c r="D23" s="45">
        <f t="shared" si="1"/>
        <v>15000</v>
      </c>
      <c r="E23">
        <f t="shared" ca="1" si="2"/>
        <v>-25</v>
      </c>
      <c r="F23">
        <f t="shared" ca="1" si="3"/>
        <v>0</v>
      </c>
      <c r="G23" s="45">
        <f t="shared" ca="1" si="4"/>
        <v>14975</v>
      </c>
    </row>
    <row r="24" spans="1:13" x14ac:dyDescent="0.25">
      <c r="A24">
        <v>22</v>
      </c>
      <c r="B24">
        <f t="shared" ca="1" si="5"/>
        <v>0.80697219483800142</v>
      </c>
      <c r="C24">
        <f t="shared" ca="1" si="0"/>
        <v>10</v>
      </c>
      <c r="D24" s="45">
        <f t="shared" si="1"/>
        <v>15000</v>
      </c>
      <c r="E24">
        <f t="shared" ca="1" si="2"/>
        <v>0</v>
      </c>
      <c r="F24">
        <f t="shared" ca="1" si="3"/>
        <v>-450</v>
      </c>
      <c r="G24" s="45">
        <f t="shared" ca="1" si="4"/>
        <v>14550</v>
      </c>
    </row>
    <row r="25" spans="1:13" x14ac:dyDescent="0.25">
      <c r="A25">
        <v>23</v>
      </c>
      <c r="B25">
        <f t="shared" ca="1" si="5"/>
        <v>0.74320335427476425</v>
      </c>
      <c r="C25">
        <f t="shared" ca="1" si="0"/>
        <v>9</v>
      </c>
      <c r="D25" s="45">
        <f t="shared" si="1"/>
        <v>15000</v>
      </c>
      <c r="E25">
        <f t="shared" ca="1" si="2"/>
        <v>0</v>
      </c>
      <c r="F25">
        <f t="shared" ca="1" si="3"/>
        <v>-300</v>
      </c>
      <c r="G25" s="45">
        <f t="shared" ca="1" si="4"/>
        <v>14700</v>
      </c>
    </row>
    <row r="26" spans="1:13" x14ac:dyDescent="0.25">
      <c r="A26">
        <v>24</v>
      </c>
      <c r="B26">
        <f t="shared" ca="1" si="5"/>
        <v>0.34491397326135043</v>
      </c>
      <c r="C26">
        <f t="shared" ca="1" si="0"/>
        <v>7</v>
      </c>
      <c r="D26" s="45">
        <f t="shared" si="1"/>
        <v>15000</v>
      </c>
      <c r="E26">
        <f t="shared" ca="1" si="2"/>
        <v>0</v>
      </c>
      <c r="F26">
        <f t="shared" ca="1" si="3"/>
        <v>0</v>
      </c>
      <c r="G26" s="45">
        <f t="shared" ca="1" si="4"/>
        <v>15000</v>
      </c>
    </row>
    <row r="27" spans="1:13" x14ac:dyDescent="0.25">
      <c r="A27">
        <v>25</v>
      </c>
      <c r="B27">
        <f t="shared" ca="1" si="5"/>
        <v>0.38758473100914481</v>
      </c>
      <c r="C27">
        <f t="shared" ca="1" si="0"/>
        <v>7</v>
      </c>
      <c r="D27" s="45">
        <f t="shared" si="1"/>
        <v>15000</v>
      </c>
      <c r="E27">
        <f t="shared" ca="1" si="2"/>
        <v>0</v>
      </c>
      <c r="F27">
        <f t="shared" ca="1" si="3"/>
        <v>0</v>
      </c>
      <c r="G27" s="45">
        <f t="shared" ca="1" si="4"/>
        <v>15000</v>
      </c>
    </row>
    <row r="28" spans="1:13" x14ac:dyDescent="0.25">
      <c r="A28">
        <v>26</v>
      </c>
      <c r="B28">
        <f t="shared" ca="1" si="5"/>
        <v>0.77229569912580454</v>
      </c>
      <c r="C28">
        <f t="shared" ca="1" si="0"/>
        <v>9</v>
      </c>
      <c r="D28" s="45">
        <f t="shared" si="1"/>
        <v>15000</v>
      </c>
      <c r="E28">
        <f t="shared" ca="1" si="2"/>
        <v>0</v>
      </c>
      <c r="F28">
        <f t="shared" ca="1" si="3"/>
        <v>-300</v>
      </c>
      <c r="G28" s="45">
        <f t="shared" ca="1" si="4"/>
        <v>14700</v>
      </c>
    </row>
    <row r="29" spans="1:13" x14ac:dyDescent="0.25">
      <c r="A29">
        <v>27</v>
      </c>
      <c r="B29">
        <f t="shared" ca="1" si="5"/>
        <v>0.82164680275177604</v>
      </c>
      <c r="C29">
        <f t="shared" ca="1" si="0"/>
        <v>10</v>
      </c>
      <c r="D29" s="45">
        <f t="shared" si="1"/>
        <v>15000</v>
      </c>
      <c r="E29">
        <f t="shared" ca="1" si="2"/>
        <v>0</v>
      </c>
      <c r="F29">
        <f t="shared" ca="1" si="3"/>
        <v>-450</v>
      </c>
      <c r="G29" s="45">
        <f t="shared" ca="1" si="4"/>
        <v>14550</v>
      </c>
    </row>
    <row r="30" spans="1:13" x14ac:dyDescent="0.25">
      <c r="A30">
        <v>28</v>
      </c>
      <c r="B30">
        <f t="shared" ca="1" si="5"/>
        <v>0.44654776391941509</v>
      </c>
      <c r="C30">
        <f t="shared" ca="1" si="0"/>
        <v>8</v>
      </c>
      <c r="D30" s="45">
        <f t="shared" si="1"/>
        <v>15000</v>
      </c>
      <c r="E30">
        <f t="shared" ca="1" si="2"/>
        <v>0</v>
      </c>
      <c r="F30">
        <f t="shared" ca="1" si="3"/>
        <v>-150</v>
      </c>
      <c r="G30" s="45">
        <f t="shared" ca="1" si="4"/>
        <v>14850</v>
      </c>
    </row>
    <row r="31" spans="1:13" x14ac:dyDescent="0.25">
      <c r="A31">
        <v>29</v>
      </c>
      <c r="B31">
        <f t="shared" ca="1" si="5"/>
        <v>0.2638885351463971</v>
      </c>
      <c r="C31">
        <f t="shared" ca="1" si="0"/>
        <v>7</v>
      </c>
      <c r="D31" s="45">
        <f t="shared" si="1"/>
        <v>15000</v>
      </c>
      <c r="E31">
        <f t="shared" ca="1" si="2"/>
        <v>0</v>
      </c>
      <c r="F31">
        <f t="shared" ca="1" si="3"/>
        <v>0</v>
      </c>
      <c r="G31" s="45">
        <f t="shared" ca="1" si="4"/>
        <v>15000</v>
      </c>
    </row>
    <row r="32" spans="1:13" x14ac:dyDescent="0.25">
      <c r="A32">
        <v>30</v>
      </c>
      <c r="B32">
        <f t="shared" ca="1" si="5"/>
        <v>0.48506190444249508</v>
      </c>
      <c r="C32">
        <f t="shared" ca="1" si="0"/>
        <v>8</v>
      </c>
      <c r="D32" s="45">
        <f t="shared" si="1"/>
        <v>15000</v>
      </c>
      <c r="E32">
        <f t="shared" ca="1" si="2"/>
        <v>0</v>
      </c>
      <c r="F32">
        <f t="shared" ca="1" si="3"/>
        <v>-150</v>
      </c>
      <c r="G32" s="45">
        <f t="shared" ca="1" si="4"/>
        <v>14850</v>
      </c>
    </row>
    <row r="33" spans="1:7" x14ac:dyDescent="0.25">
      <c r="A33">
        <v>31</v>
      </c>
      <c r="B33">
        <f t="shared" ca="1" si="5"/>
        <v>0.95338315861421608</v>
      </c>
      <c r="C33">
        <f t="shared" ca="1" si="0"/>
        <v>11</v>
      </c>
      <c r="D33" s="45">
        <f t="shared" si="1"/>
        <v>15000</v>
      </c>
      <c r="E33">
        <f t="shared" ca="1" si="2"/>
        <v>0</v>
      </c>
      <c r="F33">
        <f t="shared" ca="1" si="3"/>
        <v>-600</v>
      </c>
      <c r="G33" s="45">
        <f t="shared" ca="1" si="4"/>
        <v>14400</v>
      </c>
    </row>
    <row r="34" spans="1:7" x14ac:dyDescent="0.25">
      <c r="A34">
        <v>32</v>
      </c>
      <c r="B34">
        <f t="shared" ca="1" si="5"/>
        <v>0.84899269990151882</v>
      </c>
      <c r="C34">
        <f t="shared" ca="1" si="0"/>
        <v>10</v>
      </c>
      <c r="D34" s="45">
        <f t="shared" si="1"/>
        <v>15000</v>
      </c>
      <c r="E34">
        <f t="shared" ca="1" si="2"/>
        <v>0</v>
      </c>
      <c r="F34">
        <f t="shared" ca="1" si="3"/>
        <v>-450</v>
      </c>
      <c r="G34" s="45">
        <f t="shared" ca="1" si="4"/>
        <v>14550</v>
      </c>
    </row>
    <row r="35" spans="1:7" x14ac:dyDescent="0.25">
      <c r="A35">
        <v>33</v>
      </c>
      <c r="B35">
        <f t="shared" ca="1" si="5"/>
        <v>0.57989591874231783</v>
      </c>
      <c r="C35">
        <f t="shared" ca="1" si="0"/>
        <v>8</v>
      </c>
      <c r="D35" s="45">
        <f t="shared" si="1"/>
        <v>15000</v>
      </c>
      <c r="E35">
        <f t="shared" ca="1" si="2"/>
        <v>0</v>
      </c>
      <c r="F35">
        <f t="shared" ca="1" si="3"/>
        <v>-150</v>
      </c>
      <c r="G35" s="45">
        <f t="shared" ca="1" si="4"/>
        <v>14850</v>
      </c>
    </row>
    <row r="36" spans="1:7" x14ac:dyDescent="0.25">
      <c r="A36">
        <v>34</v>
      </c>
      <c r="B36">
        <f t="shared" ca="1" si="5"/>
        <v>0.14925196580594902</v>
      </c>
      <c r="C36">
        <f t="shared" ca="1" si="0"/>
        <v>6</v>
      </c>
      <c r="D36" s="45">
        <f t="shared" si="1"/>
        <v>15000</v>
      </c>
      <c r="E36">
        <f t="shared" ca="1" si="2"/>
        <v>-25</v>
      </c>
      <c r="F36">
        <f t="shared" ca="1" si="3"/>
        <v>0</v>
      </c>
      <c r="G36" s="45">
        <f t="shared" ca="1" si="4"/>
        <v>14975</v>
      </c>
    </row>
    <row r="37" spans="1:7" x14ac:dyDescent="0.25">
      <c r="A37">
        <v>35</v>
      </c>
      <c r="B37">
        <f t="shared" ca="1" si="5"/>
        <v>0.43333611557669527</v>
      </c>
      <c r="C37">
        <f t="shared" ca="1" si="0"/>
        <v>8</v>
      </c>
      <c r="D37" s="45">
        <f t="shared" si="1"/>
        <v>15000</v>
      </c>
      <c r="E37">
        <f t="shared" ca="1" si="2"/>
        <v>0</v>
      </c>
      <c r="F37">
        <f t="shared" ca="1" si="3"/>
        <v>-150</v>
      </c>
      <c r="G37" s="45">
        <f t="shared" ca="1" si="4"/>
        <v>14850</v>
      </c>
    </row>
    <row r="38" spans="1:7" x14ac:dyDescent="0.25">
      <c r="A38">
        <v>36</v>
      </c>
      <c r="B38">
        <f t="shared" ca="1" si="5"/>
        <v>6.3708336502833918E-2</v>
      </c>
      <c r="C38">
        <f t="shared" ca="1" si="0"/>
        <v>5</v>
      </c>
      <c r="D38" s="45">
        <f t="shared" si="1"/>
        <v>15000</v>
      </c>
      <c r="E38">
        <f t="shared" ca="1" si="2"/>
        <v>-50</v>
      </c>
      <c r="F38">
        <f t="shared" ca="1" si="3"/>
        <v>0</v>
      </c>
      <c r="G38" s="45">
        <f t="shared" ca="1" si="4"/>
        <v>14950</v>
      </c>
    </row>
    <row r="39" spans="1:7" x14ac:dyDescent="0.25">
      <c r="A39">
        <v>37</v>
      </c>
      <c r="B39">
        <f t="shared" ca="1" si="5"/>
        <v>0.2323222083848876</v>
      </c>
      <c r="C39">
        <f t="shared" ca="1" si="0"/>
        <v>7</v>
      </c>
      <c r="D39" s="45">
        <f t="shared" si="1"/>
        <v>15000</v>
      </c>
      <c r="E39">
        <f t="shared" ca="1" si="2"/>
        <v>0</v>
      </c>
      <c r="F39">
        <f t="shared" ca="1" si="3"/>
        <v>0</v>
      </c>
      <c r="G39" s="45">
        <f t="shared" ca="1" si="4"/>
        <v>15000</v>
      </c>
    </row>
    <row r="40" spans="1:7" x14ac:dyDescent="0.25">
      <c r="A40">
        <v>38</v>
      </c>
      <c r="B40">
        <f t="shared" ca="1" si="5"/>
        <v>6.3038002776700242E-2</v>
      </c>
      <c r="C40">
        <f t="shared" ca="1" si="0"/>
        <v>5</v>
      </c>
      <c r="D40" s="45">
        <f t="shared" si="1"/>
        <v>15000</v>
      </c>
      <c r="E40">
        <f t="shared" ca="1" si="2"/>
        <v>-50</v>
      </c>
      <c r="F40">
        <f t="shared" ca="1" si="3"/>
        <v>0</v>
      </c>
      <c r="G40" s="45">
        <f t="shared" ca="1" si="4"/>
        <v>14950</v>
      </c>
    </row>
    <row r="41" spans="1:7" x14ac:dyDescent="0.25">
      <c r="A41">
        <v>39</v>
      </c>
      <c r="B41">
        <f t="shared" ca="1" si="5"/>
        <v>0.73194802528436564</v>
      </c>
      <c r="C41">
        <f t="shared" ca="1" si="0"/>
        <v>9</v>
      </c>
      <c r="D41" s="45">
        <f t="shared" si="1"/>
        <v>15000</v>
      </c>
      <c r="E41">
        <f t="shared" ca="1" si="2"/>
        <v>0</v>
      </c>
      <c r="F41">
        <f t="shared" ca="1" si="3"/>
        <v>-300</v>
      </c>
      <c r="G41" s="45">
        <f t="shared" ca="1" si="4"/>
        <v>14700</v>
      </c>
    </row>
    <row r="42" spans="1:7" x14ac:dyDescent="0.25">
      <c r="A42">
        <v>40</v>
      </c>
      <c r="B42">
        <f t="shared" ca="1" si="5"/>
        <v>0.88787749674314476</v>
      </c>
      <c r="C42">
        <f t="shared" ca="1" si="0"/>
        <v>10</v>
      </c>
      <c r="D42" s="45">
        <f t="shared" si="1"/>
        <v>15000</v>
      </c>
      <c r="E42">
        <f t="shared" ca="1" si="2"/>
        <v>0</v>
      </c>
      <c r="F42">
        <f t="shared" ca="1" si="3"/>
        <v>-450</v>
      </c>
      <c r="G42" s="45">
        <f t="shared" ca="1" si="4"/>
        <v>14550</v>
      </c>
    </row>
    <row r="43" spans="1:7" x14ac:dyDescent="0.25">
      <c r="A43">
        <v>41</v>
      </c>
      <c r="B43">
        <f t="shared" ca="1" si="5"/>
        <v>0.31667971967043562</v>
      </c>
      <c r="C43">
        <f t="shared" ca="1" si="0"/>
        <v>7</v>
      </c>
      <c r="D43" s="45">
        <f t="shared" si="1"/>
        <v>15000</v>
      </c>
      <c r="E43">
        <f t="shared" ca="1" si="2"/>
        <v>0</v>
      </c>
      <c r="F43">
        <f t="shared" ca="1" si="3"/>
        <v>0</v>
      </c>
      <c r="G43" s="45">
        <f t="shared" ca="1" si="4"/>
        <v>15000</v>
      </c>
    </row>
    <row r="44" spans="1:7" x14ac:dyDescent="0.25">
      <c r="A44">
        <v>42</v>
      </c>
      <c r="B44">
        <f t="shared" ca="1" si="5"/>
        <v>0.20443661527237633</v>
      </c>
      <c r="C44">
        <f t="shared" ca="1" si="0"/>
        <v>6</v>
      </c>
      <c r="D44" s="45">
        <f t="shared" si="1"/>
        <v>15000</v>
      </c>
      <c r="E44">
        <f t="shared" ca="1" si="2"/>
        <v>-25</v>
      </c>
      <c r="F44">
        <f t="shared" ca="1" si="3"/>
        <v>0</v>
      </c>
      <c r="G44" s="45">
        <f t="shared" ca="1" si="4"/>
        <v>14975</v>
      </c>
    </row>
    <row r="45" spans="1:7" x14ac:dyDescent="0.25">
      <c r="A45">
        <v>43</v>
      </c>
      <c r="B45">
        <f t="shared" ca="1" si="5"/>
        <v>0.42234900724409485</v>
      </c>
      <c r="C45">
        <f t="shared" ca="1" si="0"/>
        <v>8</v>
      </c>
      <c r="D45" s="45">
        <f t="shared" si="1"/>
        <v>15000</v>
      </c>
      <c r="E45">
        <f t="shared" ca="1" si="2"/>
        <v>0</v>
      </c>
      <c r="F45">
        <f t="shared" ca="1" si="3"/>
        <v>-150</v>
      </c>
      <c r="G45" s="45">
        <f t="shared" ca="1" si="4"/>
        <v>14850</v>
      </c>
    </row>
    <row r="46" spans="1:7" x14ac:dyDescent="0.25">
      <c r="A46">
        <v>44</v>
      </c>
      <c r="B46">
        <f t="shared" ca="1" si="5"/>
        <v>0.61650611326577331</v>
      </c>
      <c r="C46">
        <f t="shared" ca="1" si="0"/>
        <v>9</v>
      </c>
      <c r="D46" s="45">
        <f t="shared" si="1"/>
        <v>15000</v>
      </c>
      <c r="E46">
        <f t="shared" ca="1" si="2"/>
        <v>0</v>
      </c>
      <c r="F46">
        <f t="shared" ca="1" si="3"/>
        <v>-300</v>
      </c>
      <c r="G46" s="45">
        <f t="shared" ca="1" si="4"/>
        <v>14700</v>
      </c>
    </row>
    <row r="47" spans="1:7" x14ac:dyDescent="0.25">
      <c r="A47">
        <v>45</v>
      </c>
      <c r="B47">
        <f t="shared" ca="1" si="5"/>
        <v>9.3554966717360188E-2</v>
      </c>
      <c r="C47">
        <f t="shared" ca="1" si="0"/>
        <v>5</v>
      </c>
      <c r="D47" s="45">
        <f t="shared" si="1"/>
        <v>15000</v>
      </c>
      <c r="E47">
        <f t="shared" ca="1" si="2"/>
        <v>-50</v>
      </c>
      <c r="F47">
        <f t="shared" ca="1" si="3"/>
        <v>0</v>
      </c>
      <c r="G47" s="45">
        <f t="shared" ca="1" si="4"/>
        <v>14950</v>
      </c>
    </row>
    <row r="48" spans="1:7" x14ac:dyDescent="0.25">
      <c r="A48">
        <v>46</v>
      </c>
      <c r="B48">
        <f t="shared" ca="1" si="5"/>
        <v>0.90353981284494167</v>
      </c>
      <c r="C48">
        <f t="shared" ca="1" si="0"/>
        <v>11</v>
      </c>
      <c r="D48" s="45">
        <f t="shared" si="1"/>
        <v>15000</v>
      </c>
      <c r="E48">
        <f t="shared" ca="1" si="2"/>
        <v>0</v>
      </c>
      <c r="F48">
        <f t="shared" ca="1" si="3"/>
        <v>-600</v>
      </c>
      <c r="G48" s="45">
        <f t="shared" ca="1" si="4"/>
        <v>14400</v>
      </c>
    </row>
    <row r="49" spans="1:7" x14ac:dyDescent="0.25">
      <c r="A49">
        <v>47</v>
      </c>
      <c r="B49">
        <f t="shared" ca="1" si="5"/>
        <v>0.52800605545599266</v>
      </c>
      <c r="C49">
        <f t="shared" ca="1" si="0"/>
        <v>8</v>
      </c>
      <c r="D49" s="45">
        <f t="shared" si="1"/>
        <v>15000</v>
      </c>
      <c r="E49">
        <f t="shared" ca="1" si="2"/>
        <v>0</v>
      </c>
      <c r="F49">
        <f t="shared" ca="1" si="3"/>
        <v>-150</v>
      </c>
      <c r="G49" s="45">
        <f t="shared" ca="1" si="4"/>
        <v>14850</v>
      </c>
    </row>
    <row r="50" spans="1:7" x14ac:dyDescent="0.25">
      <c r="A50">
        <v>48</v>
      </c>
      <c r="B50">
        <f t="shared" ca="1" si="5"/>
        <v>0.18229433829789465</v>
      </c>
      <c r="C50">
        <f t="shared" ca="1" si="0"/>
        <v>6</v>
      </c>
      <c r="D50" s="45">
        <f t="shared" si="1"/>
        <v>15000</v>
      </c>
      <c r="E50">
        <f t="shared" ca="1" si="2"/>
        <v>-25</v>
      </c>
      <c r="F50">
        <f t="shared" ca="1" si="3"/>
        <v>0</v>
      </c>
      <c r="G50" s="45">
        <f t="shared" ca="1" si="4"/>
        <v>14975</v>
      </c>
    </row>
    <row r="51" spans="1:7" x14ac:dyDescent="0.25">
      <c r="A51">
        <v>49</v>
      </c>
      <c r="B51">
        <f t="shared" ca="1" si="5"/>
        <v>0.29517300299168681</v>
      </c>
      <c r="C51">
        <f t="shared" ca="1" si="0"/>
        <v>7</v>
      </c>
      <c r="D51" s="45">
        <f t="shared" si="1"/>
        <v>15000</v>
      </c>
      <c r="E51">
        <f t="shared" ca="1" si="2"/>
        <v>0</v>
      </c>
      <c r="F51">
        <f t="shared" ca="1" si="3"/>
        <v>0</v>
      </c>
      <c r="G51" s="45">
        <f t="shared" ca="1" si="4"/>
        <v>15000</v>
      </c>
    </row>
    <row r="52" spans="1:7" x14ac:dyDescent="0.25">
      <c r="A52">
        <v>50</v>
      </c>
      <c r="B52">
        <f t="shared" ca="1" si="5"/>
        <v>0.30073581522980541</v>
      </c>
      <c r="C52">
        <f t="shared" ca="1" si="0"/>
        <v>7</v>
      </c>
      <c r="D52" s="45">
        <f t="shared" si="1"/>
        <v>15000</v>
      </c>
      <c r="E52">
        <f t="shared" ca="1" si="2"/>
        <v>0</v>
      </c>
      <c r="F52">
        <f t="shared" ca="1" si="3"/>
        <v>0</v>
      </c>
      <c r="G52" s="45">
        <f t="shared" ca="1" si="4"/>
        <v>15000</v>
      </c>
    </row>
    <row r="53" spans="1:7" x14ac:dyDescent="0.25">
      <c r="A53">
        <v>51</v>
      </c>
      <c r="B53">
        <f t="shared" ca="1" si="5"/>
        <v>0.48697614837678871</v>
      </c>
      <c r="C53">
        <f t="shared" ca="1" si="0"/>
        <v>8</v>
      </c>
      <c r="D53" s="45">
        <f t="shared" si="1"/>
        <v>15000</v>
      </c>
      <c r="E53">
        <f t="shared" ca="1" si="2"/>
        <v>0</v>
      </c>
      <c r="F53">
        <f t="shared" ca="1" si="3"/>
        <v>-150</v>
      </c>
      <c r="G53" s="45">
        <f t="shared" ca="1" si="4"/>
        <v>14850</v>
      </c>
    </row>
    <row r="54" spans="1:7" x14ac:dyDescent="0.25">
      <c r="A54">
        <v>52</v>
      </c>
      <c r="B54">
        <f t="shared" ca="1" si="5"/>
        <v>0.3204442964662364</v>
      </c>
      <c r="C54">
        <f t="shared" ca="1" si="0"/>
        <v>7</v>
      </c>
      <c r="D54" s="45">
        <f t="shared" si="1"/>
        <v>15000</v>
      </c>
      <c r="E54">
        <f t="shared" ca="1" si="2"/>
        <v>0</v>
      </c>
      <c r="F54">
        <f t="shared" ca="1" si="3"/>
        <v>0</v>
      </c>
      <c r="G54" s="45">
        <f t="shared" ca="1" si="4"/>
        <v>15000</v>
      </c>
    </row>
    <row r="55" spans="1:7" x14ac:dyDescent="0.25">
      <c r="A55">
        <v>53</v>
      </c>
      <c r="B55">
        <f t="shared" ca="1" si="5"/>
        <v>0.95541569201469656</v>
      </c>
      <c r="C55">
        <f t="shared" ca="1" si="0"/>
        <v>11</v>
      </c>
      <c r="D55" s="45">
        <f t="shared" si="1"/>
        <v>15000</v>
      </c>
      <c r="E55">
        <f t="shared" ca="1" si="2"/>
        <v>0</v>
      </c>
      <c r="F55">
        <f t="shared" ca="1" si="3"/>
        <v>-600</v>
      </c>
      <c r="G55" s="45">
        <f t="shared" ca="1" si="4"/>
        <v>14400</v>
      </c>
    </row>
    <row r="56" spans="1:7" x14ac:dyDescent="0.25">
      <c r="A56">
        <v>54</v>
      </c>
      <c r="B56">
        <f t="shared" ca="1" si="5"/>
        <v>0.43654456905576</v>
      </c>
      <c r="C56">
        <f t="shared" ca="1" si="0"/>
        <v>8</v>
      </c>
      <c r="D56" s="45">
        <f t="shared" si="1"/>
        <v>15000</v>
      </c>
      <c r="E56">
        <f t="shared" ca="1" si="2"/>
        <v>0</v>
      </c>
      <c r="F56">
        <f t="shared" ca="1" si="3"/>
        <v>-150</v>
      </c>
      <c r="G56" s="45">
        <f t="shared" ca="1" si="4"/>
        <v>14850</v>
      </c>
    </row>
    <row r="57" spans="1:7" x14ac:dyDescent="0.25">
      <c r="A57">
        <v>55</v>
      </c>
      <c r="B57">
        <f t="shared" ca="1" si="5"/>
        <v>0.639324217118867</v>
      </c>
      <c r="C57">
        <f t="shared" ca="1" si="0"/>
        <v>9</v>
      </c>
      <c r="D57" s="45">
        <f t="shared" si="1"/>
        <v>15000</v>
      </c>
      <c r="E57">
        <f t="shared" ca="1" si="2"/>
        <v>0</v>
      </c>
      <c r="F57">
        <f t="shared" ca="1" si="3"/>
        <v>-300</v>
      </c>
      <c r="G57" s="45">
        <f t="shared" ca="1" si="4"/>
        <v>14700</v>
      </c>
    </row>
    <row r="58" spans="1:7" x14ac:dyDescent="0.25">
      <c r="A58">
        <v>56</v>
      </c>
      <c r="B58">
        <f t="shared" ca="1" si="5"/>
        <v>0.4531619190351599</v>
      </c>
      <c r="C58">
        <f t="shared" ca="1" si="0"/>
        <v>8</v>
      </c>
      <c r="D58" s="45">
        <f t="shared" si="1"/>
        <v>15000</v>
      </c>
      <c r="E58">
        <f t="shared" ca="1" si="2"/>
        <v>0</v>
      </c>
      <c r="F58">
        <f t="shared" ca="1" si="3"/>
        <v>-150</v>
      </c>
      <c r="G58" s="45">
        <f t="shared" ca="1" si="4"/>
        <v>14850</v>
      </c>
    </row>
    <row r="59" spans="1:7" x14ac:dyDescent="0.25">
      <c r="A59">
        <v>57</v>
      </c>
      <c r="B59">
        <f t="shared" ca="1" si="5"/>
        <v>0.79481766542037924</v>
      </c>
      <c r="C59">
        <f t="shared" ca="1" si="0"/>
        <v>10</v>
      </c>
      <c r="D59" s="45">
        <f t="shared" si="1"/>
        <v>15000</v>
      </c>
      <c r="E59">
        <f t="shared" ca="1" si="2"/>
        <v>0</v>
      </c>
      <c r="F59">
        <f t="shared" ca="1" si="3"/>
        <v>-450</v>
      </c>
      <c r="G59" s="45">
        <f t="shared" ca="1" si="4"/>
        <v>14550</v>
      </c>
    </row>
    <row r="60" spans="1:7" x14ac:dyDescent="0.25">
      <c r="A60">
        <v>58</v>
      </c>
      <c r="B60">
        <f t="shared" ca="1" si="5"/>
        <v>0.9729991718360399</v>
      </c>
      <c r="C60">
        <f t="shared" ca="1" si="0"/>
        <v>12</v>
      </c>
      <c r="D60" s="45">
        <f t="shared" si="1"/>
        <v>15000</v>
      </c>
      <c r="E60">
        <f t="shared" ca="1" si="2"/>
        <v>0</v>
      </c>
      <c r="F60">
        <f t="shared" ca="1" si="3"/>
        <v>-750</v>
      </c>
      <c r="G60" s="45">
        <f t="shared" ca="1" si="4"/>
        <v>14250</v>
      </c>
    </row>
    <row r="61" spans="1:7" x14ac:dyDescent="0.25">
      <c r="A61">
        <v>59</v>
      </c>
      <c r="B61">
        <f t="shared" ca="1" si="5"/>
        <v>0.10920882086512018</v>
      </c>
      <c r="C61">
        <f t="shared" ca="1" si="0"/>
        <v>6</v>
      </c>
      <c r="D61" s="45">
        <f t="shared" si="1"/>
        <v>15000</v>
      </c>
      <c r="E61">
        <f t="shared" ca="1" si="2"/>
        <v>-25</v>
      </c>
      <c r="F61">
        <f t="shared" ca="1" si="3"/>
        <v>0</v>
      </c>
      <c r="G61" s="45">
        <f t="shared" ca="1" si="4"/>
        <v>14975</v>
      </c>
    </row>
    <row r="62" spans="1:7" x14ac:dyDescent="0.25">
      <c r="A62">
        <v>60</v>
      </c>
      <c r="B62">
        <f t="shared" ca="1" si="5"/>
        <v>0.39708661504719711</v>
      </c>
      <c r="C62">
        <f t="shared" ca="1" si="0"/>
        <v>7</v>
      </c>
      <c r="D62" s="45">
        <f t="shared" si="1"/>
        <v>15000</v>
      </c>
      <c r="E62">
        <f t="shared" ca="1" si="2"/>
        <v>0</v>
      </c>
      <c r="F62">
        <f t="shared" ca="1" si="3"/>
        <v>0</v>
      </c>
      <c r="G62" s="45">
        <f t="shared" ca="1" si="4"/>
        <v>15000</v>
      </c>
    </row>
    <row r="63" spans="1:7" x14ac:dyDescent="0.25">
      <c r="A63">
        <v>61</v>
      </c>
      <c r="B63">
        <f t="shared" ca="1" si="5"/>
        <v>0.97632847497644848</v>
      </c>
      <c r="C63">
        <f t="shared" ca="1" si="0"/>
        <v>12</v>
      </c>
      <c r="D63" s="45">
        <f t="shared" si="1"/>
        <v>15000</v>
      </c>
      <c r="E63">
        <f t="shared" ca="1" si="2"/>
        <v>0</v>
      </c>
      <c r="F63">
        <f t="shared" ca="1" si="3"/>
        <v>-750</v>
      </c>
      <c r="G63" s="45">
        <f t="shared" ca="1" si="4"/>
        <v>14250</v>
      </c>
    </row>
    <row r="64" spans="1:7" x14ac:dyDescent="0.25">
      <c r="A64">
        <v>62</v>
      </c>
      <c r="B64">
        <f t="shared" ca="1" si="5"/>
        <v>0.69566876418462931</v>
      </c>
      <c r="C64">
        <f t="shared" ca="1" si="0"/>
        <v>9</v>
      </c>
      <c r="D64" s="45">
        <f t="shared" si="1"/>
        <v>15000</v>
      </c>
      <c r="E64">
        <f t="shared" ca="1" si="2"/>
        <v>0</v>
      </c>
      <c r="F64">
        <f t="shared" ca="1" si="3"/>
        <v>-300</v>
      </c>
      <c r="G64" s="45">
        <f t="shared" ca="1" si="4"/>
        <v>14700</v>
      </c>
    </row>
    <row r="65" spans="1:7" x14ac:dyDescent="0.25">
      <c r="A65">
        <v>63</v>
      </c>
      <c r="B65">
        <f t="shared" ca="1" si="5"/>
        <v>0.2349416695495149</v>
      </c>
      <c r="C65">
        <f t="shared" ca="1" si="0"/>
        <v>7</v>
      </c>
      <c r="D65" s="45">
        <f t="shared" si="1"/>
        <v>15000</v>
      </c>
      <c r="E65">
        <f t="shared" ca="1" si="2"/>
        <v>0</v>
      </c>
      <c r="F65">
        <f t="shared" ca="1" si="3"/>
        <v>0</v>
      </c>
      <c r="G65" s="45">
        <f t="shared" ca="1" si="4"/>
        <v>15000</v>
      </c>
    </row>
    <row r="66" spans="1:7" x14ac:dyDescent="0.25">
      <c r="A66">
        <v>64</v>
      </c>
      <c r="B66">
        <f t="shared" ca="1" si="5"/>
        <v>0.56270152196093204</v>
      </c>
      <c r="C66">
        <f t="shared" ca="1" si="0"/>
        <v>8</v>
      </c>
      <c r="D66" s="45">
        <f t="shared" si="1"/>
        <v>15000</v>
      </c>
      <c r="E66">
        <f t="shared" ca="1" si="2"/>
        <v>0</v>
      </c>
      <c r="F66">
        <f t="shared" ca="1" si="3"/>
        <v>-150</v>
      </c>
      <c r="G66" s="45">
        <f t="shared" ca="1" si="4"/>
        <v>14850</v>
      </c>
    </row>
    <row r="67" spans="1:7" x14ac:dyDescent="0.25">
      <c r="A67">
        <v>65</v>
      </c>
      <c r="B67">
        <f t="shared" ca="1" si="5"/>
        <v>1.0198774879956796E-2</v>
      </c>
      <c r="C67">
        <f t="shared" ca="1" si="0"/>
        <v>3</v>
      </c>
      <c r="D67" s="45">
        <f t="shared" si="1"/>
        <v>15000</v>
      </c>
      <c r="E67">
        <f t="shared" ca="1" si="2"/>
        <v>-100</v>
      </c>
      <c r="F67">
        <f t="shared" ca="1" si="3"/>
        <v>0</v>
      </c>
      <c r="G67" s="45">
        <f t="shared" ca="1" si="4"/>
        <v>14900</v>
      </c>
    </row>
    <row r="68" spans="1:7" x14ac:dyDescent="0.25">
      <c r="A68">
        <v>66</v>
      </c>
      <c r="B68">
        <f t="shared" ca="1" si="5"/>
        <v>0.32485488175339783</v>
      </c>
      <c r="C68">
        <f t="shared" ref="C68:C102" ca="1" si="6">ROUND(_xlfn.NORM.INV(B68,$H$3,$I$3),0)</f>
        <v>7</v>
      </c>
      <c r="D68" s="45">
        <f t="shared" ref="D68:D102" si="7">$K$2*$K$4</f>
        <v>15000</v>
      </c>
      <c r="E68">
        <f t="shared" ref="E68:E102" ca="1" si="8">-($K$3-$K$2)*MAX($L$2-C68,0)</f>
        <v>0</v>
      </c>
      <c r="F68">
        <f t="shared" ref="F68:F102" ca="1" si="9">-$K$2*MAX(C68-$L$2,0)</f>
        <v>0</v>
      </c>
      <c r="G68" s="45">
        <f t="shared" ref="G68:G102" ca="1" si="10">SUM(D68:F68)</f>
        <v>15000</v>
      </c>
    </row>
    <row r="69" spans="1:7" x14ac:dyDescent="0.25">
      <c r="A69">
        <v>67</v>
      </c>
      <c r="B69">
        <f t="shared" ref="B69:B102" ca="1" si="11">RAND()</f>
        <v>0.53268983732120012</v>
      </c>
      <c r="C69">
        <f t="shared" ca="1" si="6"/>
        <v>8</v>
      </c>
      <c r="D69" s="45">
        <f t="shared" si="7"/>
        <v>15000</v>
      </c>
      <c r="E69">
        <f t="shared" ca="1" si="8"/>
        <v>0</v>
      </c>
      <c r="F69">
        <f t="shared" ca="1" si="9"/>
        <v>-150</v>
      </c>
      <c r="G69" s="45">
        <f t="shared" ca="1" si="10"/>
        <v>14850</v>
      </c>
    </row>
    <row r="70" spans="1:7" x14ac:dyDescent="0.25">
      <c r="A70">
        <v>68</v>
      </c>
      <c r="B70">
        <f t="shared" ca="1" si="11"/>
        <v>0.1933378615691157</v>
      </c>
      <c r="C70">
        <f t="shared" ca="1" si="6"/>
        <v>6</v>
      </c>
      <c r="D70" s="45">
        <f t="shared" si="7"/>
        <v>15000</v>
      </c>
      <c r="E70">
        <f t="shared" ca="1" si="8"/>
        <v>-25</v>
      </c>
      <c r="F70">
        <f t="shared" ca="1" si="9"/>
        <v>0</v>
      </c>
      <c r="G70" s="45">
        <f t="shared" ca="1" si="10"/>
        <v>14975</v>
      </c>
    </row>
    <row r="71" spans="1:7" x14ac:dyDescent="0.25">
      <c r="A71">
        <v>69</v>
      </c>
      <c r="B71">
        <f t="shared" ca="1" si="11"/>
        <v>9.6835967182621219E-2</v>
      </c>
      <c r="C71">
        <f t="shared" ca="1" si="6"/>
        <v>5</v>
      </c>
      <c r="D71" s="45">
        <f t="shared" si="7"/>
        <v>15000</v>
      </c>
      <c r="E71">
        <f t="shared" ca="1" si="8"/>
        <v>-50</v>
      </c>
      <c r="F71">
        <f t="shared" ca="1" si="9"/>
        <v>0</v>
      </c>
      <c r="G71" s="45">
        <f t="shared" ca="1" si="10"/>
        <v>14950</v>
      </c>
    </row>
    <row r="72" spans="1:7" x14ac:dyDescent="0.25">
      <c r="A72">
        <v>70</v>
      </c>
      <c r="B72">
        <f t="shared" ca="1" si="11"/>
        <v>0.72101693037172243</v>
      </c>
      <c r="C72">
        <f t="shared" ca="1" si="6"/>
        <v>9</v>
      </c>
      <c r="D72" s="45">
        <f t="shared" si="7"/>
        <v>15000</v>
      </c>
      <c r="E72">
        <f t="shared" ca="1" si="8"/>
        <v>0</v>
      </c>
      <c r="F72">
        <f t="shared" ca="1" si="9"/>
        <v>-300</v>
      </c>
      <c r="G72" s="45">
        <f t="shared" ca="1" si="10"/>
        <v>14700</v>
      </c>
    </row>
    <row r="73" spans="1:7" x14ac:dyDescent="0.25">
      <c r="A73">
        <v>71</v>
      </c>
      <c r="B73">
        <f t="shared" ca="1" si="11"/>
        <v>0.82695189893803223</v>
      </c>
      <c r="C73">
        <f t="shared" ca="1" si="6"/>
        <v>10</v>
      </c>
      <c r="D73" s="45">
        <f t="shared" si="7"/>
        <v>15000</v>
      </c>
      <c r="E73">
        <f t="shared" ca="1" si="8"/>
        <v>0</v>
      </c>
      <c r="F73">
        <f t="shared" ca="1" si="9"/>
        <v>-450</v>
      </c>
      <c r="G73" s="45">
        <f t="shared" ca="1" si="10"/>
        <v>14550</v>
      </c>
    </row>
    <row r="74" spans="1:7" x14ac:dyDescent="0.25">
      <c r="A74">
        <v>72</v>
      </c>
      <c r="B74">
        <f t="shared" ca="1" si="11"/>
        <v>0.78463497913106139</v>
      </c>
      <c r="C74">
        <f t="shared" ca="1" si="6"/>
        <v>10</v>
      </c>
      <c r="D74" s="45">
        <f t="shared" si="7"/>
        <v>15000</v>
      </c>
      <c r="E74">
        <f t="shared" ca="1" si="8"/>
        <v>0</v>
      </c>
      <c r="F74">
        <f t="shared" ca="1" si="9"/>
        <v>-450</v>
      </c>
      <c r="G74" s="45">
        <f t="shared" ca="1" si="10"/>
        <v>14550</v>
      </c>
    </row>
    <row r="75" spans="1:7" x14ac:dyDescent="0.25">
      <c r="A75">
        <v>73</v>
      </c>
      <c r="B75">
        <f t="shared" ca="1" si="11"/>
        <v>0.6415909267313149</v>
      </c>
      <c r="C75">
        <f t="shared" ca="1" si="6"/>
        <v>9</v>
      </c>
      <c r="D75" s="45">
        <f t="shared" si="7"/>
        <v>15000</v>
      </c>
      <c r="E75">
        <f t="shared" ca="1" si="8"/>
        <v>0</v>
      </c>
      <c r="F75">
        <f t="shared" ca="1" si="9"/>
        <v>-300</v>
      </c>
      <c r="G75" s="45">
        <f t="shared" ca="1" si="10"/>
        <v>14700</v>
      </c>
    </row>
    <row r="76" spans="1:7" x14ac:dyDescent="0.25">
      <c r="A76">
        <v>74</v>
      </c>
      <c r="B76">
        <f t="shared" ca="1" si="11"/>
        <v>0.65962079493460946</v>
      </c>
      <c r="C76">
        <f t="shared" ca="1" si="6"/>
        <v>9</v>
      </c>
      <c r="D76" s="45">
        <f t="shared" si="7"/>
        <v>15000</v>
      </c>
      <c r="E76">
        <f t="shared" ca="1" si="8"/>
        <v>0</v>
      </c>
      <c r="F76">
        <f t="shared" ca="1" si="9"/>
        <v>-300</v>
      </c>
      <c r="G76" s="45">
        <f t="shared" ca="1" si="10"/>
        <v>14700</v>
      </c>
    </row>
    <row r="77" spans="1:7" x14ac:dyDescent="0.25">
      <c r="A77">
        <v>75</v>
      </c>
      <c r="B77">
        <f t="shared" ca="1" si="11"/>
        <v>0.58247013739187459</v>
      </c>
      <c r="C77">
        <f t="shared" ca="1" si="6"/>
        <v>8</v>
      </c>
      <c r="D77" s="45">
        <f t="shared" si="7"/>
        <v>15000</v>
      </c>
      <c r="E77">
        <f t="shared" ca="1" si="8"/>
        <v>0</v>
      </c>
      <c r="F77">
        <f t="shared" ca="1" si="9"/>
        <v>-150</v>
      </c>
      <c r="G77" s="45">
        <f t="shared" ca="1" si="10"/>
        <v>14850</v>
      </c>
    </row>
    <row r="78" spans="1:7" x14ac:dyDescent="0.25">
      <c r="A78">
        <v>76</v>
      </c>
      <c r="B78">
        <f t="shared" ca="1" si="11"/>
        <v>0.87215999536622846</v>
      </c>
      <c r="C78">
        <f t="shared" ca="1" si="6"/>
        <v>10</v>
      </c>
      <c r="D78" s="45">
        <f t="shared" si="7"/>
        <v>15000</v>
      </c>
      <c r="E78">
        <f t="shared" ca="1" si="8"/>
        <v>0</v>
      </c>
      <c r="F78">
        <f t="shared" ca="1" si="9"/>
        <v>-450</v>
      </c>
      <c r="G78" s="45">
        <f t="shared" ca="1" si="10"/>
        <v>14550</v>
      </c>
    </row>
    <row r="79" spans="1:7" x14ac:dyDescent="0.25">
      <c r="A79">
        <v>77</v>
      </c>
      <c r="B79">
        <f t="shared" ca="1" si="11"/>
        <v>0.18625848926419142</v>
      </c>
      <c r="C79">
        <f t="shared" ca="1" si="6"/>
        <v>6</v>
      </c>
      <c r="D79" s="45">
        <f t="shared" si="7"/>
        <v>15000</v>
      </c>
      <c r="E79">
        <f t="shared" ca="1" si="8"/>
        <v>-25</v>
      </c>
      <c r="F79">
        <f t="shared" ca="1" si="9"/>
        <v>0</v>
      </c>
      <c r="G79" s="45">
        <f t="shared" ca="1" si="10"/>
        <v>14975</v>
      </c>
    </row>
    <row r="80" spans="1:7" x14ac:dyDescent="0.25">
      <c r="A80">
        <v>78</v>
      </c>
      <c r="B80">
        <f t="shared" ca="1" si="11"/>
        <v>0.73492389824901727</v>
      </c>
      <c r="C80">
        <f t="shared" ca="1" si="6"/>
        <v>9</v>
      </c>
      <c r="D80" s="45">
        <f t="shared" si="7"/>
        <v>15000</v>
      </c>
      <c r="E80">
        <f t="shared" ca="1" si="8"/>
        <v>0</v>
      </c>
      <c r="F80">
        <f t="shared" ca="1" si="9"/>
        <v>-300</v>
      </c>
      <c r="G80" s="45">
        <f t="shared" ca="1" si="10"/>
        <v>14700</v>
      </c>
    </row>
    <row r="81" spans="1:7" x14ac:dyDescent="0.25">
      <c r="A81">
        <v>79</v>
      </c>
      <c r="B81">
        <f t="shared" ca="1" si="11"/>
        <v>0.50059033993964541</v>
      </c>
      <c r="C81">
        <f t="shared" ca="1" si="6"/>
        <v>8</v>
      </c>
      <c r="D81" s="45">
        <f t="shared" si="7"/>
        <v>15000</v>
      </c>
      <c r="E81">
        <f t="shared" ca="1" si="8"/>
        <v>0</v>
      </c>
      <c r="F81">
        <f t="shared" ca="1" si="9"/>
        <v>-150</v>
      </c>
      <c r="G81" s="45">
        <f t="shared" ca="1" si="10"/>
        <v>14850</v>
      </c>
    </row>
    <row r="82" spans="1:7" x14ac:dyDescent="0.25">
      <c r="A82">
        <v>80</v>
      </c>
      <c r="B82">
        <f t="shared" ca="1" si="11"/>
        <v>0.18767144518949219</v>
      </c>
      <c r="C82">
        <f t="shared" ca="1" si="6"/>
        <v>6</v>
      </c>
      <c r="D82" s="45">
        <f t="shared" si="7"/>
        <v>15000</v>
      </c>
      <c r="E82">
        <f t="shared" ca="1" si="8"/>
        <v>-25</v>
      </c>
      <c r="F82">
        <f t="shared" ca="1" si="9"/>
        <v>0</v>
      </c>
      <c r="G82" s="45">
        <f t="shared" ca="1" si="10"/>
        <v>14975</v>
      </c>
    </row>
    <row r="83" spans="1:7" x14ac:dyDescent="0.25">
      <c r="A83">
        <v>81</v>
      </c>
      <c r="B83">
        <f t="shared" ca="1" si="11"/>
        <v>0.50352990486113491</v>
      </c>
      <c r="C83">
        <f t="shared" ca="1" si="6"/>
        <v>8</v>
      </c>
      <c r="D83" s="45">
        <f t="shared" si="7"/>
        <v>15000</v>
      </c>
      <c r="E83">
        <f t="shared" ca="1" si="8"/>
        <v>0</v>
      </c>
      <c r="F83">
        <f t="shared" ca="1" si="9"/>
        <v>-150</v>
      </c>
      <c r="G83" s="45">
        <f t="shared" ca="1" si="10"/>
        <v>14850</v>
      </c>
    </row>
    <row r="84" spans="1:7" x14ac:dyDescent="0.25">
      <c r="A84">
        <v>82</v>
      </c>
      <c r="B84">
        <f t="shared" ca="1" si="11"/>
        <v>3.3361126317462131E-2</v>
      </c>
      <c r="C84">
        <f t="shared" ca="1" si="6"/>
        <v>4</v>
      </c>
      <c r="D84" s="45">
        <f t="shared" si="7"/>
        <v>15000</v>
      </c>
      <c r="E84">
        <f t="shared" ca="1" si="8"/>
        <v>-75</v>
      </c>
      <c r="F84">
        <f t="shared" ca="1" si="9"/>
        <v>0</v>
      </c>
      <c r="G84" s="45">
        <f t="shared" ca="1" si="10"/>
        <v>14925</v>
      </c>
    </row>
    <row r="85" spans="1:7" x14ac:dyDescent="0.25">
      <c r="A85">
        <v>83</v>
      </c>
      <c r="B85">
        <f t="shared" ca="1" si="11"/>
        <v>0.79620720956309554</v>
      </c>
      <c r="C85">
        <f t="shared" ca="1" si="6"/>
        <v>10</v>
      </c>
      <c r="D85" s="45">
        <f t="shared" si="7"/>
        <v>15000</v>
      </c>
      <c r="E85">
        <f t="shared" ca="1" si="8"/>
        <v>0</v>
      </c>
      <c r="F85">
        <f t="shared" ca="1" si="9"/>
        <v>-450</v>
      </c>
      <c r="G85" s="45">
        <f t="shared" ca="1" si="10"/>
        <v>14550</v>
      </c>
    </row>
    <row r="86" spans="1:7" x14ac:dyDescent="0.25">
      <c r="A86">
        <v>84</v>
      </c>
      <c r="B86">
        <f t="shared" ca="1" si="11"/>
        <v>0.61530064123912664</v>
      </c>
      <c r="C86">
        <f t="shared" ca="1" si="6"/>
        <v>9</v>
      </c>
      <c r="D86" s="45">
        <f t="shared" si="7"/>
        <v>15000</v>
      </c>
      <c r="E86">
        <f t="shared" ca="1" si="8"/>
        <v>0</v>
      </c>
      <c r="F86">
        <f t="shared" ca="1" si="9"/>
        <v>-300</v>
      </c>
      <c r="G86" s="45">
        <f t="shared" ca="1" si="10"/>
        <v>14700</v>
      </c>
    </row>
    <row r="87" spans="1:7" x14ac:dyDescent="0.25">
      <c r="A87">
        <v>85</v>
      </c>
      <c r="B87">
        <f t="shared" ca="1" si="11"/>
        <v>2.8608132142309506E-2</v>
      </c>
      <c r="C87">
        <f t="shared" ca="1" si="6"/>
        <v>4</v>
      </c>
      <c r="D87" s="45">
        <f t="shared" si="7"/>
        <v>15000</v>
      </c>
      <c r="E87">
        <f t="shared" ca="1" si="8"/>
        <v>-75</v>
      </c>
      <c r="F87">
        <f t="shared" ca="1" si="9"/>
        <v>0</v>
      </c>
      <c r="G87" s="45">
        <f t="shared" ca="1" si="10"/>
        <v>14925</v>
      </c>
    </row>
    <row r="88" spans="1:7" x14ac:dyDescent="0.25">
      <c r="A88">
        <v>86</v>
      </c>
      <c r="B88">
        <f t="shared" ca="1" si="11"/>
        <v>0.28391145191761147</v>
      </c>
      <c r="C88">
        <f t="shared" ca="1" si="6"/>
        <v>7</v>
      </c>
      <c r="D88" s="45">
        <f t="shared" si="7"/>
        <v>15000</v>
      </c>
      <c r="E88">
        <f t="shared" ca="1" si="8"/>
        <v>0</v>
      </c>
      <c r="F88">
        <f t="shared" ca="1" si="9"/>
        <v>0</v>
      </c>
      <c r="G88" s="45">
        <f t="shared" ca="1" si="10"/>
        <v>15000</v>
      </c>
    </row>
    <row r="89" spans="1:7" x14ac:dyDescent="0.25">
      <c r="A89">
        <v>87</v>
      </c>
      <c r="B89">
        <f t="shared" ca="1" si="11"/>
        <v>0.93653276261960161</v>
      </c>
      <c r="C89">
        <f t="shared" ca="1" si="6"/>
        <v>11</v>
      </c>
      <c r="D89" s="45">
        <f t="shared" si="7"/>
        <v>15000</v>
      </c>
      <c r="E89">
        <f t="shared" ca="1" si="8"/>
        <v>0</v>
      </c>
      <c r="F89">
        <f t="shared" ca="1" si="9"/>
        <v>-600</v>
      </c>
      <c r="G89" s="45">
        <f t="shared" ca="1" si="10"/>
        <v>14400</v>
      </c>
    </row>
    <row r="90" spans="1:7" x14ac:dyDescent="0.25">
      <c r="A90">
        <v>88</v>
      </c>
      <c r="B90">
        <f t="shared" ca="1" si="11"/>
        <v>0.2908616555250112</v>
      </c>
      <c r="C90">
        <f t="shared" ca="1" si="6"/>
        <v>7</v>
      </c>
      <c r="D90" s="45">
        <f t="shared" si="7"/>
        <v>15000</v>
      </c>
      <c r="E90">
        <f t="shared" ca="1" si="8"/>
        <v>0</v>
      </c>
      <c r="F90">
        <f t="shared" ca="1" si="9"/>
        <v>0</v>
      </c>
      <c r="G90" s="45">
        <f t="shared" ca="1" si="10"/>
        <v>15000</v>
      </c>
    </row>
    <row r="91" spans="1:7" x14ac:dyDescent="0.25">
      <c r="A91">
        <v>89</v>
      </c>
      <c r="B91">
        <f t="shared" ca="1" si="11"/>
        <v>0.1451810342843588</v>
      </c>
      <c r="C91">
        <f t="shared" ca="1" si="6"/>
        <v>6</v>
      </c>
      <c r="D91" s="45">
        <f t="shared" si="7"/>
        <v>15000</v>
      </c>
      <c r="E91">
        <f t="shared" ca="1" si="8"/>
        <v>-25</v>
      </c>
      <c r="F91">
        <f t="shared" ca="1" si="9"/>
        <v>0</v>
      </c>
      <c r="G91" s="45">
        <f t="shared" ca="1" si="10"/>
        <v>14975</v>
      </c>
    </row>
    <row r="92" spans="1:7" x14ac:dyDescent="0.25">
      <c r="A92">
        <v>90</v>
      </c>
      <c r="B92">
        <f t="shared" ca="1" si="11"/>
        <v>0.36498179637618011</v>
      </c>
      <c r="C92">
        <f t="shared" ca="1" si="6"/>
        <v>7</v>
      </c>
      <c r="D92" s="45">
        <f t="shared" si="7"/>
        <v>15000</v>
      </c>
      <c r="E92">
        <f t="shared" ca="1" si="8"/>
        <v>0</v>
      </c>
      <c r="F92">
        <f t="shared" ca="1" si="9"/>
        <v>0</v>
      </c>
      <c r="G92" s="45">
        <f t="shared" ca="1" si="10"/>
        <v>15000</v>
      </c>
    </row>
    <row r="93" spans="1:7" x14ac:dyDescent="0.25">
      <c r="A93">
        <v>91</v>
      </c>
      <c r="B93">
        <f t="shared" ca="1" si="11"/>
        <v>0.14957487063997832</v>
      </c>
      <c r="C93">
        <f t="shared" ca="1" si="6"/>
        <v>6</v>
      </c>
      <c r="D93" s="45">
        <f t="shared" si="7"/>
        <v>15000</v>
      </c>
      <c r="E93">
        <f t="shared" ca="1" si="8"/>
        <v>-25</v>
      </c>
      <c r="F93">
        <f t="shared" ca="1" si="9"/>
        <v>0</v>
      </c>
      <c r="G93" s="45">
        <f t="shared" ca="1" si="10"/>
        <v>14975</v>
      </c>
    </row>
    <row r="94" spans="1:7" x14ac:dyDescent="0.25">
      <c r="A94">
        <v>92</v>
      </c>
      <c r="B94">
        <f t="shared" ca="1" si="11"/>
        <v>0.40788888177485716</v>
      </c>
      <c r="C94">
        <f t="shared" ca="1" si="6"/>
        <v>8</v>
      </c>
      <c r="D94" s="45">
        <f t="shared" si="7"/>
        <v>15000</v>
      </c>
      <c r="E94">
        <f t="shared" ca="1" si="8"/>
        <v>0</v>
      </c>
      <c r="F94">
        <f t="shared" ca="1" si="9"/>
        <v>-150</v>
      </c>
      <c r="G94" s="45">
        <f t="shared" ca="1" si="10"/>
        <v>14850</v>
      </c>
    </row>
    <row r="95" spans="1:7" x14ac:dyDescent="0.25">
      <c r="A95">
        <v>93</v>
      </c>
      <c r="B95">
        <f t="shared" ca="1" si="11"/>
        <v>0.58017804153718788</v>
      </c>
      <c r="C95">
        <f t="shared" ca="1" si="6"/>
        <v>8</v>
      </c>
      <c r="D95" s="45">
        <f t="shared" si="7"/>
        <v>15000</v>
      </c>
      <c r="E95">
        <f t="shared" ca="1" si="8"/>
        <v>0</v>
      </c>
      <c r="F95">
        <f t="shared" ca="1" si="9"/>
        <v>-150</v>
      </c>
      <c r="G95" s="45">
        <f t="shared" ca="1" si="10"/>
        <v>14850</v>
      </c>
    </row>
    <row r="96" spans="1:7" x14ac:dyDescent="0.25">
      <c r="A96">
        <v>94</v>
      </c>
      <c r="B96">
        <f t="shared" ca="1" si="11"/>
        <v>0.31022480957160159</v>
      </c>
      <c r="C96">
        <f t="shared" ca="1" si="6"/>
        <v>7</v>
      </c>
      <c r="D96" s="45">
        <f t="shared" si="7"/>
        <v>15000</v>
      </c>
      <c r="E96">
        <f t="shared" ca="1" si="8"/>
        <v>0</v>
      </c>
      <c r="F96">
        <f t="shared" ca="1" si="9"/>
        <v>0</v>
      </c>
      <c r="G96" s="45">
        <f t="shared" ca="1" si="10"/>
        <v>15000</v>
      </c>
    </row>
    <row r="97" spans="1:7" x14ac:dyDescent="0.25">
      <c r="A97">
        <v>95</v>
      </c>
      <c r="B97">
        <f t="shared" ca="1" si="11"/>
        <v>0.14269071870986028</v>
      </c>
      <c r="C97">
        <f t="shared" ca="1" si="6"/>
        <v>6</v>
      </c>
      <c r="D97" s="45">
        <f t="shared" si="7"/>
        <v>15000</v>
      </c>
      <c r="E97">
        <f t="shared" ca="1" si="8"/>
        <v>-25</v>
      </c>
      <c r="F97">
        <f t="shared" ca="1" si="9"/>
        <v>0</v>
      </c>
      <c r="G97" s="45">
        <f t="shared" ca="1" si="10"/>
        <v>14975</v>
      </c>
    </row>
    <row r="98" spans="1:7" x14ac:dyDescent="0.25">
      <c r="A98">
        <v>96</v>
      </c>
      <c r="B98">
        <f t="shared" ca="1" si="11"/>
        <v>0.50156794047163311</v>
      </c>
      <c r="C98">
        <f t="shared" ca="1" si="6"/>
        <v>8</v>
      </c>
      <c r="D98" s="45">
        <f t="shared" si="7"/>
        <v>15000</v>
      </c>
      <c r="E98">
        <f t="shared" ca="1" si="8"/>
        <v>0</v>
      </c>
      <c r="F98">
        <f t="shared" ca="1" si="9"/>
        <v>-150</v>
      </c>
      <c r="G98" s="45">
        <f t="shared" ca="1" si="10"/>
        <v>14850</v>
      </c>
    </row>
    <row r="99" spans="1:7" x14ac:dyDescent="0.25">
      <c r="A99">
        <v>97</v>
      </c>
      <c r="B99">
        <f t="shared" ca="1" si="11"/>
        <v>0.20491277357084192</v>
      </c>
      <c r="C99">
        <f t="shared" ca="1" si="6"/>
        <v>6</v>
      </c>
      <c r="D99" s="45">
        <f t="shared" si="7"/>
        <v>15000</v>
      </c>
      <c r="E99">
        <f t="shared" ca="1" si="8"/>
        <v>-25</v>
      </c>
      <c r="F99">
        <f t="shared" ca="1" si="9"/>
        <v>0</v>
      </c>
      <c r="G99" s="45">
        <f t="shared" ca="1" si="10"/>
        <v>14975</v>
      </c>
    </row>
    <row r="100" spans="1:7" x14ac:dyDescent="0.25">
      <c r="A100">
        <v>98</v>
      </c>
      <c r="B100">
        <f t="shared" ca="1" si="11"/>
        <v>0.33072570588280215</v>
      </c>
      <c r="C100">
        <f t="shared" ca="1" si="6"/>
        <v>7</v>
      </c>
      <c r="D100" s="45">
        <f t="shared" si="7"/>
        <v>15000</v>
      </c>
      <c r="E100">
        <f t="shared" ca="1" si="8"/>
        <v>0</v>
      </c>
      <c r="F100">
        <f t="shared" ca="1" si="9"/>
        <v>0</v>
      </c>
      <c r="G100" s="45">
        <f t="shared" ca="1" si="10"/>
        <v>15000</v>
      </c>
    </row>
    <row r="101" spans="1:7" x14ac:dyDescent="0.25">
      <c r="A101">
        <v>99</v>
      </c>
      <c r="B101">
        <f t="shared" ca="1" si="11"/>
        <v>0.58325290774219163</v>
      </c>
      <c r="C101">
        <f t="shared" ca="1" si="6"/>
        <v>8</v>
      </c>
      <c r="D101" s="45">
        <f t="shared" si="7"/>
        <v>15000</v>
      </c>
      <c r="E101">
        <f t="shared" ca="1" si="8"/>
        <v>0</v>
      </c>
      <c r="F101">
        <f t="shared" ca="1" si="9"/>
        <v>-150</v>
      </c>
      <c r="G101" s="45">
        <f t="shared" ca="1" si="10"/>
        <v>14850</v>
      </c>
    </row>
    <row r="102" spans="1:7" x14ac:dyDescent="0.25">
      <c r="A102">
        <v>100</v>
      </c>
      <c r="B102">
        <f t="shared" ca="1" si="11"/>
        <v>0.62908039660473247</v>
      </c>
      <c r="C102">
        <f t="shared" ca="1" si="6"/>
        <v>9</v>
      </c>
      <c r="D102" s="45">
        <f t="shared" si="7"/>
        <v>15000</v>
      </c>
      <c r="E102">
        <f t="shared" ca="1" si="8"/>
        <v>0</v>
      </c>
      <c r="F102">
        <f t="shared" ca="1" si="9"/>
        <v>-300</v>
      </c>
      <c r="G102" s="45">
        <f t="shared" ca="1" si="10"/>
        <v>14700</v>
      </c>
    </row>
  </sheetData>
  <mergeCells count="1">
    <mergeCell ref="H1:I1"/>
  </mergeCells>
  <conditionalFormatting sqref="M11:M20">
    <cfRule type="cellIs" priority="1" operator="equal">
      <formula>MAX($M$11:$M$21)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35"/>
  <sheetViews>
    <sheetView zoomScaleNormal="100" workbookViewId="0">
      <selection activeCell="J11" sqref="J11"/>
    </sheetView>
  </sheetViews>
  <sheetFormatPr defaultColWidth="9.1796875" defaultRowHeight="14.5" x14ac:dyDescent="0.25"/>
  <cols>
    <col min="1" max="1" width="16.7265625" style="2" bestFit="1" customWidth="1"/>
    <col min="2" max="2" width="15.26953125" style="2" bestFit="1" customWidth="1"/>
    <col min="3" max="3" width="9.81640625" style="2" bestFit="1" customWidth="1"/>
    <col min="4" max="4" width="17.54296875" style="2" customWidth="1"/>
    <col min="5" max="5" width="15.81640625" style="2" customWidth="1"/>
    <col min="6" max="6" width="17.26953125" style="2" bestFit="1" customWidth="1"/>
    <col min="7" max="7" width="10.7265625" style="2" bestFit="1" customWidth="1"/>
    <col min="8" max="8" width="9.1796875" style="2"/>
    <col min="9" max="9" width="10.26953125" style="2" bestFit="1" customWidth="1"/>
    <col min="10" max="10" width="20.1796875" style="2" bestFit="1" customWidth="1"/>
    <col min="11" max="11" width="10.7265625" style="2" bestFit="1" customWidth="1"/>
    <col min="12" max="16384" width="9.1796875" style="2"/>
  </cols>
  <sheetData>
    <row r="1" spans="1:15" x14ac:dyDescent="0.25">
      <c r="A1" s="49" t="s">
        <v>23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</row>
    <row r="2" spans="1:15" x14ac:dyDescent="0.25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4"/>
    </row>
    <row r="3" spans="1:15" x14ac:dyDescent="0.25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4"/>
    </row>
    <row r="4" spans="1:15" x14ac:dyDescent="0.25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4"/>
    </row>
    <row r="5" spans="1:15" x14ac:dyDescent="0.25">
      <c r="A5" s="5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4"/>
    </row>
    <row r="6" spans="1:15" x14ac:dyDescent="0.25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4"/>
    </row>
    <row r="7" spans="1:15" x14ac:dyDescent="0.25">
      <c r="A7" s="55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11" spans="1:15" x14ac:dyDescent="0.25">
      <c r="A11" s="58" t="s">
        <v>22</v>
      </c>
      <c r="B11" s="58"/>
      <c r="C11" s="58"/>
      <c r="D11" s="58"/>
      <c r="E11" s="58"/>
      <c r="F11" s="58"/>
      <c r="G11" s="58"/>
    </row>
    <row r="12" spans="1:15" x14ac:dyDescent="0.25">
      <c r="A12" s="5"/>
      <c r="B12" s="5"/>
      <c r="C12" s="5"/>
      <c r="D12" s="5"/>
      <c r="E12" s="5"/>
      <c r="F12" s="5"/>
      <c r="G12" s="5"/>
    </row>
    <row r="13" spans="1:15" x14ac:dyDescent="0.25">
      <c r="A13" s="5"/>
      <c r="B13" s="5"/>
      <c r="C13" s="5"/>
      <c r="D13" s="5"/>
      <c r="E13" s="5"/>
      <c r="F13" s="5"/>
      <c r="G13" s="5"/>
    </row>
    <row r="14" spans="1:15" x14ac:dyDescent="0.25">
      <c r="A14" s="5"/>
      <c r="B14" s="5"/>
      <c r="C14" s="5"/>
      <c r="D14" s="5"/>
      <c r="E14" s="5"/>
      <c r="F14" s="5"/>
      <c r="G14" s="5"/>
    </row>
    <row r="15" spans="1:15" x14ac:dyDescent="0.25">
      <c r="A15" s="5"/>
      <c r="B15" s="5"/>
      <c r="C15" s="5"/>
      <c r="D15" s="5"/>
      <c r="E15" s="5"/>
      <c r="F15" s="5"/>
      <c r="G15" s="5"/>
    </row>
    <row r="16" spans="1:15" ht="15" thickBot="1" x14ac:dyDescent="0.3">
      <c r="A16" s="5"/>
      <c r="B16" s="5"/>
      <c r="C16" s="5"/>
      <c r="D16" s="5"/>
      <c r="E16" s="5"/>
      <c r="F16" s="5"/>
      <c r="G16" s="5"/>
    </row>
    <row r="17" spans="1:13" ht="15" customHeight="1" x14ac:dyDescent="0.25">
      <c r="J17" s="59" t="s">
        <v>24</v>
      </c>
      <c r="K17" s="60"/>
      <c r="L17" s="9"/>
      <c r="M17" s="9"/>
    </row>
    <row r="18" spans="1:13" ht="15" thickBot="1" x14ac:dyDescent="0.3">
      <c r="A18" s="5" t="s">
        <v>16</v>
      </c>
      <c r="D18" s="5" t="s">
        <v>36</v>
      </c>
      <c r="J18" s="61"/>
      <c r="K18" s="62"/>
      <c r="L18" s="9"/>
      <c r="M18" s="9"/>
    </row>
    <row r="19" spans="1:13" x14ac:dyDescent="0.25">
      <c r="A19" s="9" t="s">
        <v>13</v>
      </c>
      <c r="B19" s="18">
        <v>150</v>
      </c>
      <c r="D19" s="15" t="s">
        <v>34</v>
      </c>
      <c r="E19" s="14" t="s">
        <v>35</v>
      </c>
      <c r="J19" s="19" t="s">
        <v>25</v>
      </c>
      <c r="K19" s="20" t="s">
        <v>11</v>
      </c>
    </row>
    <row r="20" spans="1:13" x14ac:dyDescent="0.25">
      <c r="A20" s="9" t="s">
        <v>14</v>
      </c>
      <c r="B20" s="16">
        <v>175</v>
      </c>
      <c r="D20" s="12">
        <v>8</v>
      </c>
      <c r="E20" s="10">
        <v>2</v>
      </c>
      <c r="J20" s="21"/>
      <c r="K20" s="22">
        <f ca="1">AVERAGE(profits)</f>
        <v>14379</v>
      </c>
    </row>
    <row r="21" spans="1:13" ht="15" thickBot="1" x14ac:dyDescent="0.3">
      <c r="A21" s="9" t="s">
        <v>12</v>
      </c>
      <c r="B21" s="13">
        <v>100</v>
      </c>
      <c r="D21" s="12"/>
      <c r="E21" s="10"/>
      <c r="J21" s="21">
        <v>4</v>
      </c>
      <c r="K21" s="22">
        <f t="dataTable" ref="K21:K29" dt2D="0" dtr="0" r1="B24" ca="1"/>
        <v>14399.5</v>
      </c>
    </row>
    <row r="22" spans="1:13" x14ac:dyDescent="0.25">
      <c r="D22" s="11"/>
      <c r="E22" s="10"/>
      <c r="J22" s="21">
        <v>5</v>
      </c>
      <c r="K22" s="22">
        <v>14516.5</v>
      </c>
    </row>
    <row r="23" spans="1:13" ht="15" thickBot="1" x14ac:dyDescent="0.3">
      <c r="A23" s="5" t="s">
        <v>0</v>
      </c>
      <c r="D23" s="7"/>
      <c r="E23" s="6"/>
      <c r="J23" s="21">
        <v>6</v>
      </c>
      <c r="K23" s="22">
        <v>14682.75</v>
      </c>
    </row>
    <row r="24" spans="1:13" ht="15" thickBot="1" x14ac:dyDescent="0.3">
      <c r="A24" s="23" t="s">
        <v>15</v>
      </c>
      <c r="B24" s="24">
        <v>4</v>
      </c>
      <c r="D24" s="8"/>
      <c r="J24" s="21">
        <v>7</v>
      </c>
      <c r="K24" s="22">
        <v>14777</v>
      </c>
    </row>
    <row r="25" spans="1:13" x14ac:dyDescent="0.25">
      <c r="J25" s="21">
        <v>8</v>
      </c>
      <c r="K25" s="22">
        <v>14878.5</v>
      </c>
    </row>
    <row r="26" spans="1:13" ht="15" thickBot="1" x14ac:dyDescent="0.3">
      <c r="A26" s="58" t="s">
        <v>1</v>
      </c>
      <c r="B26" s="58"/>
      <c r="C26" s="58"/>
      <c r="J26" s="21">
        <v>9</v>
      </c>
      <c r="K26" s="22">
        <v>14917.75</v>
      </c>
    </row>
    <row r="27" spans="1:13" x14ac:dyDescent="0.35">
      <c r="A27" s="25" t="s">
        <v>26</v>
      </c>
      <c r="B27" s="26">
        <f ca="1">AVERAGE(profits)</f>
        <v>14379</v>
      </c>
      <c r="C27" s="27"/>
      <c r="D27" s="63" t="s">
        <v>2</v>
      </c>
      <c r="E27" s="64"/>
      <c r="F27" s="65"/>
      <c r="J27" s="21">
        <v>10</v>
      </c>
      <c r="K27" s="22">
        <v>14916</v>
      </c>
    </row>
    <row r="28" spans="1:13" x14ac:dyDescent="0.25">
      <c r="A28" s="28" t="s">
        <v>27</v>
      </c>
      <c r="B28" s="29">
        <f ca="1">STDEV(profits)</f>
        <v>289.21523913074594</v>
      </c>
      <c r="C28" s="30"/>
      <c r="D28" s="30" t="s">
        <v>28</v>
      </c>
      <c r="E28" s="30">
        <v>100</v>
      </c>
      <c r="F28" s="31" t="s">
        <v>29</v>
      </c>
      <c r="J28" s="21">
        <v>11</v>
      </c>
      <c r="K28" s="22">
        <v>14910.5</v>
      </c>
    </row>
    <row r="29" spans="1:13" ht="15" thickBot="1" x14ac:dyDescent="0.3">
      <c r="A29" s="32" t="s">
        <v>4</v>
      </c>
      <c r="B29" s="33">
        <f ca="1">MIN(profits)</f>
        <v>13800</v>
      </c>
      <c r="C29" s="30"/>
      <c r="D29" s="30" t="s">
        <v>30</v>
      </c>
      <c r="E29" s="33">
        <f ca="1">ABS(NORMSINV(0.025)*B28/SQRT(E28))</f>
        <v>56.685145247640129</v>
      </c>
      <c r="F29" s="31" t="s">
        <v>31</v>
      </c>
      <c r="J29" s="34">
        <v>12</v>
      </c>
      <c r="K29" s="22">
        <v>14892</v>
      </c>
    </row>
    <row r="30" spans="1:13" x14ac:dyDescent="0.25">
      <c r="A30" s="32" t="s">
        <v>6</v>
      </c>
      <c r="B30" s="33">
        <f ca="1">MAX(profits)</f>
        <v>15000</v>
      </c>
      <c r="C30" s="30"/>
      <c r="D30" s="30" t="s">
        <v>3</v>
      </c>
      <c r="E30" s="33">
        <f ca="1">B27-E29</f>
        <v>14322.31485475236</v>
      </c>
      <c r="F30" s="31" t="s">
        <v>32</v>
      </c>
    </row>
    <row r="31" spans="1:13" ht="15" thickBot="1" x14ac:dyDescent="0.3">
      <c r="A31" s="35"/>
      <c r="B31" s="36"/>
      <c r="C31" s="37"/>
      <c r="D31" s="37" t="s">
        <v>5</v>
      </c>
      <c r="E31" s="36">
        <f ca="1">B27+E29</f>
        <v>14435.68514524764</v>
      </c>
      <c r="F31" s="38" t="s">
        <v>33</v>
      </c>
    </row>
    <row r="32" spans="1:13" x14ac:dyDescent="0.25">
      <c r="B32" s="4"/>
    </row>
    <row r="33" spans="1:7" x14ac:dyDescent="0.25">
      <c r="B33" s="4"/>
      <c r="E33" s="48"/>
      <c r="F33" s="48"/>
      <c r="G33" s="48"/>
    </row>
    <row r="34" spans="1:7" x14ac:dyDescent="0.25">
      <c r="A34" s="5" t="s">
        <v>7</v>
      </c>
      <c r="D34" s="2" t="s">
        <v>21</v>
      </c>
      <c r="E34" s="39" t="s">
        <v>18</v>
      </c>
      <c r="F34" s="9" t="s">
        <v>20</v>
      </c>
    </row>
    <row r="35" spans="1:7" ht="15" thickBot="1" x14ac:dyDescent="0.3">
      <c r="A35" s="1" t="s">
        <v>8</v>
      </c>
      <c r="B35" s="17" t="s">
        <v>9</v>
      </c>
      <c r="C35" s="9" t="s">
        <v>17</v>
      </c>
      <c r="D35" s="2" t="s">
        <v>10</v>
      </c>
      <c r="E35" s="9" t="s">
        <v>19</v>
      </c>
      <c r="F35" s="9" t="s">
        <v>19</v>
      </c>
      <c r="G35" s="2" t="s">
        <v>11</v>
      </c>
    </row>
    <row r="36" spans="1:7" ht="15" thickBot="1" x14ac:dyDescent="0.3">
      <c r="A36" s="1">
        <v>1</v>
      </c>
      <c r="B36" s="3">
        <f ca="1">RAND()</f>
        <v>0.77748032282337975</v>
      </c>
      <c r="C36" s="2">
        <f ca="1">ROUND(_xlfn.NORM.INV(B36,$D$20,$E$20),0)</f>
        <v>10</v>
      </c>
      <c r="D36" s="42">
        <f t="shared" ref="D36:D99" si="0">rate2*rooms2</f>
        <v>15000</v>
      </c>
      <c r="E36" s="40">
        <f t="shared" ref="E36:E67" ca="1" si="1">-(penalty2-rate2)*IF(qnty-C36&gt;0,qnty-C36,0)</f>
        <v>0</v>
      </c>
      <c r="F36" s="40">
        <f t="shared" ref="F36:F67" ca="1" si="2">-rate2*IF(qnty&lt;C36,C36-qnty,0)</f>
        <v>-900</v>
      </c>
      <c r="G36" s="41">
        <f ca="1">SUM(D36:F36)</f>
        <v>14100</v>
      </c>
    </row>
    <row r="37" spans="1:7" ht="15" thickBot="1" x14ac:dyDescent="0.3">
      <c r="A37" s="1">
        <v>2</v>
      </c>
      <c r="B37" s="3">
        <f ca="1">RAND()</f>
        <v>0.96083143855553199</v>
      </c>
      <c r="C37" s="2">
        <f t="shared" ref="C37:C100" ca="1" si="3">ROUND(_xlfn.NORM.INV(B37,$D$20,$E$20),0)</f>
        <v>12</v>
      </c>
      <c r="D37" s="42">
        <f t="shared" si="0"/>
        <v>15000</v>
      </c>
      <c r="E37" s="40">
        <f t="shared" ca="1" si="1"/>
        <v>0</v>
      </c>
      <c r="F37" s="40">
        <f t="shared" ca="1" si="2"/>
        <v>-1200</v>
      </c>
      <c r="G37" s="41">
        <f t="shared" ref="G37:G85" ca="1" si="4">SUM(D37:F37)</f>
        <v>13800</v>
      </c>
    </row>
    <row r="38" spans="1:7" ht="15" thickBot="1" x14ac:dyDescent="0.3">
      <c r="A38" s="1">
        <v>3</v>
      </c>
      <c r="B38" s="3">
        <f t="shared" ref="B38:B101" ca="1" si="5">RAND()</f>
        <v>0.85066193990269057</v>
      </c>
      <c r="C38" s="2">
        <f t="shared" ca="1" si="3"/>
        <v>10</v>
      </c>
      <c r="D38" s="42">
        <f t="shared" si="0"/>
        <v>15000</v>
      </c>
      <c r="E38" s="40">
        <f t="shared" ca="1" si="1"/>
        <v>0</v>
      </c>
      <c r="F38" s="40">
        <f t="shared" ca="1" si="2"/>
        <v>-900</v>
      </c>
      <c r="G38" s="41">
        <f t="shared" ca="1" si="4"/>
        <v>14100</v>
      </c>
    </row>
    <row r="39" spans="1:7" ht="15" thickBot="1" x14ac:dyDescent="0.3">
      <c r="A39" s="1">
        <v>4</v>
      </c>
      <c r="B39" s="3">
        <f t="shared" ca="1" si="5"/>
        <v>0.41671781190549806</v>
      </c>
      <c r="C39" s="2">
        <f t="shared" ca="1" si="3"/>
        <v>8</v>
      </c>
      <c r="D39" s="42">
        <f t="shared" si="0"/>
        <v>15000</v>
      </c>
      <c r="E39" s="40">
        <f t="shared" ca="1" si="1"/>
        <v>0</v>
      </c>
      <c r="F39" s="40">
        <f t="shared" ca="1" si="2"/>
        <v>-600</v>
      </c>
      <c r="G39" s="41">
        <f t="shared" ca="1" si="4"/>
        <v>14400</v>
      </c>
    </row>
    <row r="40" spans="1:7" ht="15" thickBot="1" x14ac:dyDescent="0.3">
      <c r="A40" s="1">
        <v>5</v>
      </c>
      <c r="B40" s="3">
        <f t="shared" ca="1" si="5"/>
        <v>0.3901003184685724</v>
      </c>
      <c r="C40" s="2">
        <f t="shared" ca="1" si="3"/>
        <v>7</v>
      </c>
      <c r="D40" s="42">
        <f t="shared" si="0"/>
        <v>15000</v>
      </c>
      <c r="E40" s="40">
        <f t="shared" ca="1" si="1"/>
        <v>0</v>
      </c>
      <c r="F40" s="40">
        <f t="shared" ca="1" si="2"/>
        <v>-450</v>
      </c>
      <c r="G40" s="41">
        <f t="shared" ca="1" si="4"/>
        <v>14550</v>
      </c>
    </row>
    <row r="41" spans="1:7" ht="15" thickBot="1" x14ac:dyDescent="0.3">
      <c r="A41" s="1">
        <v>6</v>
      </c>
      <c r="B41" s="3">
        <f t="shared" ca="1" si="5"/>
        <v>0.92005324187068827</v>
      </c>
      <c r="C41" s="2">
        <f t="shared" ca="1" si="3"/>
        <v>11</v>
      </c>
      <c r="D41" s="42">
        <f t="shared" si="0"/>
        <v>15000</v>
      </c>
      <c r="E41" s="40">
        <f t="shared" ca="1" si="1"/>
        <v>0</v>
      </c>
      <c r="F41" s="40">
        <f t="shared" ca="1" si="2"/>
        <v>-1050</v>
      </c>
      <c r="G41" s="41">
        <f t="shared" ca="1" si="4"/>
        <v>13950</v>
      </c>
    </row>
    <row r="42" spans="1:7" ht="15" thickBot="1" x14ac:dyDescent="0.3">
      <c r="A42" s="1">
        <v>7</v>
      </c>
      <c r="B42" s="3">
        <f t="shared" ca="1" si="5"/>
        <v>0.90938269750055734</v>
      </c>
      <c r="C42" s="2">
        <f t="shared" ca="1" si="3"/>
        <v>11</v>
      </c>
      <c r="D42" s="42">
        <f t="shared" si="0"/>
        <v>15000</v>
      </c>
      <c r="E42" s="40">
        <f t="shared" ca="1" si="1"/>
        <v>0</v>
      </c>
      <c r="F42" s="40">
        <f t="shared" ca="1" si="2"/>
        <v>-1050</v>
      </c>
      <c r="G42" s="41">
        <f t="shared" ca="1" si="4"/>
        <v>13950</v>
      </c>
    </row>
    <row r="43" spans="1:7" ht="15" thickBot="1" x14ac:dyDescent="0.3">
      <c r="A43" s="1">
        <v>8</v>
      </c>
      <c r="B43" s="3">
        <f t="shared" ca="1" si="5"/>
        <v>0.97437059964680428</v>
      </c>
      <c r="C43" s="2">
        <f t="shared" ca="1" si="3"/>
        <v>12</v>
      </c>
      <c r="D43" s="42">
        <f t="shared" si="0"/>
        <v>15000</v>
      </c>
      <c r="E43" s="40">
        <f t="shared" ca="1" si="1"/>
        <v>0</v>
      </c>
      <c r="F43" s="40">
        <f t="shared" ca="1" si="2"/>
        <v>-1200</v>
      </c>
      <c r="G43" s="41">
        <f t="shared" ca="1" si="4"/>
        <v>13800</v>
      </c>
    </row>
    <row r="44" spans="1:7" ht="15" thickBot="1" x14ac:dyDescent="0.3">
      <c r="A44" s="1">
        <v>9</v>
      </c>
      <c r="B44" s="3">
        <f t="shared" ca="1" si="5"/>
        <v>0.47377609062506809</v>
      </c>
      <c r="C44" s="2">
        <f t="shared" ca="1" si="3"/>
        <v>8</v>
      </c>
      <c r="D44" s="42">
        <f t="shared" si="0"/>
        <v>15000</v>
      </c>
      <c r="E44" s="40">
        <f t="shared" ca="1" si="1"/>
        <v>0</v>
      </c>
      <c r="F44" s="40">
        <f t="shared" ca="1" si="2"/>
        <v>-600</v>
      </c>
      <c r="G44" s="41">
        <f t="shared" ca="1" si="4"/>
        <v>14400</v>
      </c>
    </row>
    <row r="45" spans="1:7" ht="15" thickBot="1" x14ac:dyDescent="0.3">
      <c r="A45" s="1">
        <v>10</v>
      </c>
      <c r="B45" s="3">
        <f t="shared" ca="1" si="5"/>
        <v>0.84418593155424959</v>
      </c>
      <c r="C45" s="2">
        <f t="shared" ca="1" si="3"/>
        <v>10</v>
      </c>
      <c r="D45" s="42">
        <f t="shared" si="0"/>
        <v>15000</v>
      </c>
      <c r="E45" s="40">
        <f t="shared" ca="1" si="1"/>
        <v>0</v>
      </c>
      <c r="F45" s="40">
        <f t="shared" ca="1" si="2"/>
        <v>-900</v>
      </c>
      <c r="G45" s="41">
        <f t="shared" ca="1" si="4"/>
        <v>14100</v>
      </c>
    </row>
    <row r="46" spans="1:7" ht="15" thickBot="1" x14ac:dyDescent="0.3">
      <c r="A46" s="1">
        <v>11</v>
      </c>
      <c r="B46" s="3">
        <f t="shared" ca="1" si="5"/>
        <v>0.60784803874288074</v>
      </c>
      <c r="C46" s="2">
        <f t="shared" ca="1" si="3"/>
        <v>9</v>
      </c>
      <c r="D46" s="42">
        <f t="shared" si="0"/>
        <v>15000</v>
      </c>
      <c r="E46" s="40">
        <f t="shared" ca="1" si="1"/>
        <v>0</v>
      </c>
      <c r="F46" s="40">
        <f t="shared" ca="1" si="2"/>
        <v>-750</v>
      </c>
      <c r="G46" s="41">
        <f t="shared" ca="1" si="4"/>
        <v>14250</v>
      </c>
    </row>
    <row r="47" spans="1:7" ht="15" thickBot="1" x14ac:dyDescent="0.3">
      <c r="A47" s="1">
        <v>12</v>
      </c>
      <c r="B47" s="3">
        <f t="shared" ca="1" si="5"/>
        <v>6.1887521942240564E-2</v>
      </c>
      <c r="C47" s="2">
        <f t="shared" ca="1" si="3"/>
        <v>5</v>
      </c>
      <c r="D47" s="42">
        <f t="shared" si="0"/>
        <v>15000</v>
      </c>
      <c r="E47" s="40">
        <f t="shared" ca="1" si="1"/>
        <v>0</v>
      </c>
      <c r="F47" s="40">
        <f t="shared" ca="1" si="2"/>
        <v>-150</v>
      </c>
      <c r="G47" s="41">
        <f t="shared" ca="1" si="4"/>
        <v>14850</v>
      </c>
    </row>
    <row r="48" spans="1:7" ht="15" thickBot="1" x14ac:dyDescent="0.3">
      <c r="A48" s="1">
        <v>13</v>
      </c>
      <c r="B48" s="3">
        <f t="shared" ca="1" si="5"/>
        <v>0.97151641754060658</v>
      </c>
      <c r="C48" s="2">
        <f t="shared" ca="1" si="3"/>
        <v>12</v>
      </c>
      <c r="D48" s="42">
        <f t="shared" si="0"/>
        <v>15000</v>
      </c>
      <c r="E48" s="40">
        <f t="shared" ca="1" si="1"/>
        <v>0</v>
      </c>
      <c r="F48" s="40">
        <f t="shared" ca="1" si="2"/>
        <v>-1200</v>
      </c>
      <c r="G48" s="41">
        <f t="shared" ca="1" si="4"/>
        <v>13800</v>
      </c>
    </row>
    <row r="49" spans="1:7" ht="15" thickBot="1" x14ac:dyDescent="0.3">
      <c r="A49" s="1">
        <v>14</v>
      </c>
      <c r="B49" s="3">
        <f t="shared" ca="1" si="5"/>
        <v>0.83973749745906445</v>
      </c>
      <c r="C49" s="2">
        <f t="shared" ca="1" si="3"/>
        <v>10</v>
      </c>
      <c r="D49" s="42">
        <f t="shared" si="0"/>
        <v>15000</v>
      </c>
      <c r="E49" s="40">
        <f t="shared" ca="1" si="1"/>
        <v>0</v>
      </c>
      <c r="F49" s="40">
        <f t="shared" ca="1" si="2"/>
        <v>-900</v>
      </c>
      <c r="G49" s="41">
        <f t="shared" ca="1" si="4"/>
        <v>14100</v>
      </c>
    </row>
    <row r="50" spans="1:7" ht="15" thickBot="1" x14ac:dyDescent="0.3">
      <c r="A50" s="1">
        <v>15</v>
      </c>
      <c r="B50" s="3">
        <f t="shared" ca="1" si="5"/>
        <v>0.78779044813831045</v>
      </c>
      <c r="C50" s="2">
        <f t="shared" ca="1" si="3"/>
        <v>10</v>
      </c>
      <c r="D50" s="42">
        <f t="shared" si="0"/>
        <v>15000</v>
      </c>
      <c r="E50" s="40">
        <f t="shared" ca="1" si="1"/>
        <v>0</v>
      </c>
      <c r="F50" s="40">
        <f t="shared" ca="1" si="2"/>
        <v>-900</v>
      </c>
      <c r="G50" s="41">
        <f t="shared" ca="1" si="4"/>
        <v>14100</v>
      </c>
    </row>
    <row r="51" spans="1:7" ht="15" thickBot="1" x14ac:dyDescent="0.3">
      <c r="A51" s="1">
        <v>16</v>
      </c>
      <c r="B51" s="3">
        <f t="shared" ca="1" si="5"/>
        <v>0.65473741337876634</v>
      </c>
      <c r="C51" s="2">
        <f t="shared" ca="1" si="3"/>
        <v>9</v>
      </c>
      <c r="D51" s="42">
        <f t="shared" si="0"/>
        <v>15000</v>
      </c>
      <c r="E51" s="40">
        <f t="shared" ca="1" si="1"/>
        <v>0</v>
      </c>
      <c r="F51" s="40">
        <f t="shared" ca="1" si="2"/>
        <v>-750</v>
      </c>
      <c r="G51" s="41">
        <f t="shared" ca="1" si="4"/>
        <v>14250</v>
      </c>
    </row>
    <row r="52" spans="1:7" ht="15" thickBot="1" x14ac:dyDescent="0.3">
      <c r="A52" s="1">
        <v>17</v>
      </c>
      <c r="B52" s="3">
        <f t="shared" ca="1" si="5"/>
        <v>9.1317637759928849E-2</v>
      </c>
      <c r="C52" s="2">
        <f t="shared" ca="1" si="3"/>
        <v>5</v>
      </c>
      <c r="D52" s="42">
        <f t="shared" si="0"/>
        <v>15000</v>
      </c>
      <c r="E52" s="40">
        <f t="shared" ca="1" si="1"/>
        <v>0</v>
      </c>
      <c r="F52" s="40">
        <f t="shared" ca="1" si="2"/>
        <v>-150</v>
      </c>
      <c r="G52" s="41">
        <f t="shared" ca="1" si="4"/>
        <v>14850</v>
      </c>
    </row>
    <row r="53" spans="1:7" ht="15" thickBot="1" x14ac:dyDescent="0.3">
      <c r="A53" s="1">
        <v>18</v>
      </c>
      <c r="B53" s="3">
        <f t="shared" ca="1" si="5"/>
        <v>0.17131766760520717</v>
      </c>
      <c r="C53" s="2">
        <f t="shared" ca="1" si="3"/>
        <v>6</v>
      </c>
      <c r="D53" s="42">
        <f t="shared" si="0"/>
        <v>15000</v>
      </c>
      <c r="E53" s="40">
        <f t="shared" ca="1" si="1"/>
        <v>0</v>
      </c>
      <c r="F53" s="40">
        <f t="shared" ca="1" si="2"/>
        <v>-300</v>
      </c>
      <c r="G53" s="41">
        <f t="shared" ca="1" si="4"/>
        <v>14700</v>
      </c>
    </row>
    <row r="54" spans="1:7" ht="15" thickBot="1" x14ac:dyDescent="0.3">
      <c r="A54" s="1">
        <v>19</v>
      </c>
      <c r="B54" s="3">
        <f t="shared" ca="1" si="5"/>
        <v>0.18126351550519337</v>
      </c>
      <c r="C54" s="2">
        <f t="shared" ca="1" si="3"/>
        <v>6</v>
      </c>
      <c r="D54" s="42">
        <f t="shared" si="0"/>
        <v>15000</v>
      </c>
      <c r="E54" s="40">
        <f t="shared" ca="1" si="1"/>
        <v>0</v>
      </c>
      <c r="F54" s="40">
        <f t="shared" ca="1" si="2"/>
        <v>-300</v>
      </c>
      <c r="G54" s="41">
        <f t="shared" ca="1" si="4"/>
        <v>14700</v>
      </c>
    </row>
    <row r="55" spans="1:7" ht="15" thickBot="1" x14ac:dyDescent="0.3">
      <c r="A55" s="1">
        <v>20</v>
      </c>
      <c r="B55" s="3">
        <f t="shared" ca="1" si="5"/>
        <v>0.69288409623673897</v>
      </c>
      <c r="C55" s="2">
        <f t="shared" ca="1" si="3"/>
        <v>9</v>
      </c>
      <c r="D55" s="42">
        <f t="shared" si="0"/>
        <v>15000</v>
      </c>
      <c r="E55" s="40">
        <f t="shared" ca="1" si="1"/>
        <v>0</v>
      </c>
      <c r="F55" s="40">
        <f t="shared" ca="1" si="2"/>
        <v>-750</v>
      </c>
      <c r="G55" s="41">
        <f t="shared" ca="1" si="4"/>
        <v>14250</v>
      </c>
    </row>
    <row r="56" spans="1:7" ht="15" thickBot="1" x14ac:dyDescent="0.3">
      <c r="A56" s="1">
        <v>21</v>
      </c>
      <c r="B56" s="3">
        <f t="shared" ca="1" si="5"/>
        <v>0.17575616480125866</v>
      </c>
      <c r="C56" s="2">
        <f t="shared" ca="1" si="3"/>
        <v>6</v>
      </c>
      <c r="D56" s="42">
        <f t="shared" si="0"/>
        <v>15000</v>
      </c>
      <c r="E56" s="40">
        <f t="shared" ca="1" si="1"/>
        <v>0</v>
      </c>
      <c r="F56" s="40">
        <f t="shared" ca="1" si="2"/>
        <v>-300</v>
      </c>
      <c r="G56" s="41">
        <f t="shared" ca="1" si="4"/>
        <v>14700</v>
      </c>
    </row>
    <row r="57" spans="1:7" ht="15" thickBot="1" x14ac:dyDescent="0.3">
      <c r="A57" s="1">
        <v>22</v>
      </c>
      <c r="B57" s="3">
        <f t="shared" ca="1" si="5"/>
        <v>0.56974864409462389</v>
      </c>
      <c r="C57" s="2">
        <f t="shared" ca="1" si="3"/>
        <v>8</v>
      </c>
      <c r="D57" s="42">
        <f t="shared" si="0"/>
        <v>15000</v>
      </c>
      <c r="E57" s="40">
        <f t="shared" ca="1" si="1"/>
        <v>0</v>
      </c>
      <c r="F57" s="40">
        <f t="shared" ca="1" si="2"/>
        <v>-600</v>
      </c>
      <c r="G57" s="41">
        <f t="shared" ca="1" si="4"/>
        <v>14400</v>
      </c>
    </row>
    <row r="58" spans="1:7" ht="15" thickBot="1" x14ac:dyDescent="0.3">
      <c r="A58" s="1">
        <v>23</v>
      </c>
      <c r="B58" s="3">
        <f t="shared" ca="1" si="5"/>
        <v>0.14233231338848629</v>
      </c>
      <c r="C58" s="2">
        <f t="shared" ca="1" si="3"/>
        <v>6</v>
      </c>
      <c r="D58" s="42">
        <f t="shared" si="0"/>
        <v>15000</v>
      </c>
      <c r="E58" s="40">
        <f t="shared" ca="1" si="1"/>
        <v>0</v>
      </c>
      <c r="F58" s="40">
        <f t="shared" ca="1" si="2"/>
        <v>-300</v>
      </c>
      <c r="G58" s="41">
        <f t="shared" ca="1" si="4"/>
        <v>14700</v>
      </c>
    </row>
    <row r="59" spans="1:7" ht="15" thickBot="1" x14ac:dyDescent="0.3">
      <c r="A59" s="1">
        <v>24</v>
      </c>
      <c r="B59" s="3">
        <f t="shared" ca="1" si="5"/>
        <v>0.79810177614222921</v>
      </c>
      <c r="C59" s="2">
        <f t="shared" ca="1" si="3"/>
        <v>10</v>
      </c>
      <c r="D59" s="42">
        <f t="shared" si="0"/>
        <v>15000</v>
      </c>
      <c r="E59" s="40">
        <f t="shared" ca="1" si="1"/>
        <v>0</v>
      </c>
      <c r="F59" s="40">
        <f t="shared" ca="1" si="2"/>
        <v>-900</v>
      </c>
      <c r="G59" s="41">
        <f t="shared" ca="1" si="4"/>
        <v>14100</v>
      </c>
    </row>
    <row r="60" spans="1:7" ht="15" thickBot="1" x14ac:dyDescent="0.3">
      <c r="A60" s="1">
        <v>25</v>
      </c>
      <c r="B60" s="3">
        <f t="shared" ca="1" si="5"/>
        <v>0.11641667031658665</v>
      </c>
      <c r="C60" s="2">
        <f t="shared" ca="1" si="3"/>
        <v>6</v>
      </c>
      <c r="D60" s="42">
        <f t="shared" si="0"/>
        <v>15000</v>
      </c>
      <c r="E60" s="40">
        <f t="shared" ca="1" si="1"/>
        <v>0</v>
      </c>
      <c r="F60" s="40">
        <f t="shared" ca="1" si="2"/>
        <v>-300</v>
      </c>
      <c r="G60" s="41">
        <f t="shared" ca="1" si="4"/>
        <v>14700</v>
      </c>
    </row>
    <row r="61" spans="1:7" ht="15" thickBot="1" x14ac:dyDescent="0.3">
      <c r="A61" s="1">
        <v>26</v>
      </c>
      <c r="B61" s="3">
        <f t="shared" ca="1" si="5"/>
        <v>0.39265586770091498</v>
      </c>
      <c r="C61" s="2">
        <f t="shared" ca="1" si="3"/>
        <v>7</v>
      </c>
      <c r="D61" s="42">
        <f t="shared" si="0"/>
        <v>15000</v>
      </c>
      <c r="E61" s="40">
        <f t="shared" ca="1" si="1"/>
        <v>0</v>
      </c>
      <c r="F61" s="40">
        <f t="shared" ca="1" si="2"/>
        <v>-450</v>
      </c>
      <c r="G61" s="41">
        <f t="shared" ca="1" si="4"/>
        <v>14550</v>
      </c>
    </row>
    <row r="62" spans="1:7" ht="15" thickBot="1" x14ac:dyDescent="0.3">
      <c r="A62" s="1">
        <v>27</v>
      </c>
      <c r="B62" s="3">
        <f t="shared" ca="1" si="5"/>
        <v>0.31277050756994795</v>
      </c>
      <c r="C62" s="2">
        <f t="shared" ca="1" si="3"/>
        <v>7</v>
      </c>
      <c r="D62" s="42">
        <f t="shared" si="0"/>
        <v>15000</v>
      </c>
      <c r="E62" s="40">
        <f t="shared" ca="1" si="1"/>
        <v>0</v>
      </c>
      <c r="F62" s="40">
        <f t="shared" ca="1" si="2"/>
        <v>-450</v>
      </c>
      <c r="G62" s="41">
        <f t="shared" ca="1" si="4"/>
        <v>14550</v>
      </c>
    </row>
    <row r="63" spans="1:7" ht="15" thickBot="1" x14ac:dyDescent="0.3">
      <c r="A63" s="1">
        <v>28</v>
      </c>
      <c r="B63" s="3">
        <f t="shared" ca="1" si="5"/>
        <v>0.13616342611412702</v>
      </c>
      <c r="C63" s="2">
        <f t="shared" ca="1" si="3"/>
        <v>6</v>
      </c>
      <c r="D63" s="42">
        <f t="shared" si="0"/>
        <v>15000</v>
      </c>
      <c r="E63" s="40">
        <f t="shared" ca="1" si="1"/>
        <v>0</v>
      </c>
      <c r="F63" s="40">
        <f t="shared" ca="1" si="2"/>
        <v>-300</v>
      </c>
      <c r="G63" s="41">
        <f t="shared" ca="1" si="4"/>
        <v>14700</v>
      </c>
    </row>
    <row r="64" spans="1:7" ht="15" thickBot="1" x14ac:dyDescent="0.3">
      <c r="A64" s="1">
        <v>29</v>
      </c>
      <c r="B64" s="3">
        <f t="shared" ca="1" si="5"/>
        <v>0.47147299396504905</v>
      </c>
      <c r="C64" s="2">
        <f t="shared" ca="1" si="3"/>
        <v>8</v>
      </c>
      <c r="D64" s="42">
        <f t="shared" si="0"/>
        <v>15000</v>
      </c>
      <c r="E64" s="40">
        <f t="shared" ca="1" si="1"/>
        <v>0</v>
      </c>
      <c r="F64" s="40">
        <f t="shared" ca="1" si="2"/>
        <v>-600</v>
      </c>
      <c r="G64" s="41">
        <f t="shared" ca="1" si="4"/>
        <v>14400</v>
      </c>
    </row>
    <row r="65" spans="1:7" ht="15" thickBot="1" x14ac:dyDescent="0.3">
      <c r="A65" s="1">
        <v>30</v>
      </c>
      <c r="B65" s="3">
        <f t="shared" ca="1" si="5"/>
        <v>0.91387140215409923</v>
      </c>
      <c r="C65" s="2">
        <f t="shared" ca="1" si="3"/>
        <v>11</v>
      </c>
      <c r="D65" s="42">
        <f t="shared" si="0"/>
        <v>15000</v>
      </c>
      <c r="E65" s="40">
        <f t="shared" ca="1" si="1"/>
        <v>0</v>
      </c>
      <c r="F65" s="40">
        <f t="shared" ca="1" si="2"/>
        <v>-1050</v>
      </c>
      <c r="G65" s="41">
        <f t="shared" ca="1" si="4"/>
        <v>13950</v>
      </c>
    </row>
    <row r="66" spans="1:7" ht="15" thickBot="1" x14ac:dyDescent="0.3">
      <c r="A66" s="1">
        <v>31</v>
      </c>
      <c r="B66" s="3">
        <f t="shared" ca="1" si="5"/>
        <v>8.4186588539602702E-2</v>
      </c>
      <c r="C66" s="2">
        <f t="shared" ca="1" si="3"/>
        <v>5</v>
      </c>
      <c r="D66" s="42">
        <f t="shared" si="0"/>
        <v>15000</v>
      </c>
      <c r="E66" s="40">
        <f t="shared" ca="1" si="1"/>
        <v>0</v>
      </c>
      <c r="F66" s="40">
        <f t="shared" ca="1" si="2"/>
        <v>-150</v>
      </c>
      <c r="G66" s="41">
        <f t="shared" ca="1" si="4"/>
        <v>14850</v>
      </c>
    </row>
    <row r="67" spans="1:7" ht="15" thickBot="1" x14ac:dyDescent="0.3">
      <c r="A67" s="1">
        <v>32</v>
      </c>
      <c r="B67" s="3">
        <f t="shared" ca="1" si="5"/>
        <v>0.57182081569662624</v>
      </c>
      <c r="C67" s="2">
        <f t="shared" ca="1" si="3"/>
        <v>8</v>
      </c>
      <c r="D67" s="42">
        <f t="shared" si="0"/>
        <v>15000</v>
      </c>
      <c r="E67" s="40">
        <f t="shared" ca="1" si="1"/>
        <v>0</v>
      </c>
      <c r="F67" s="40">
        <f t="shared" ca="1" si="2"/>
        <v>-600</v>
      </c>
      <c r="G67" s="41">
        <f t="shared" ca="1" si="4"/>
        <v>14400</v>
      </c>
    </row>
    <row r="68" spans="1:7" ht="15" thickBot="1" x14ac:dyDescent="0.3">
      <c r="A68" s="1">
        <v>33</v>
      </c>
      <c r="B68" s="3">
        <f t="shared" ca="1" si="5"/>
        <v>0.20702636539119079</v>
      </c>
      <c r="C68" s="2">
        <f t="shared" ca="1" si="3"/>
        <v>6</v>
      </c>
      <c r="D68" s="42">
        <f t="shared" si="0"/>
        <v>15000</v>
      </c>
      <c r="E68" s="40">
        <f t="shared" ref="E68:E99" ca="1" si="6">-(penalty2-rate2)*IF(qnty-C68&gt;0,qnty-C68,0)</f>
        <v>0</v>
      </c>
      <c r="F68" s="40">
        <f t="shared" ref="F68:F99" ca="1" si="7">-rate2*IF(qnty&lt;C68,C68-qnty,0)</f>
        <v>-300</v>
      </c>
      <c r="G68" s="41">
        <f t="shared" ca="1" si="4"/>
        <v>14700</v>
      </c>
    </row>
    <row r="69" spans="1:7" ht="15" thickBot="1" x14ac:dyDescent="0.3">
      <c r="A69" s="1">
        <v>34</v>
      </c>
      <c r="B69" s="3">
        <f t="shared" ca="1" si="5"/>
        <v>4.0028399244069091E-2</v>
      </c>
      <c r="C69" s="2">
        <f t="shared" ca="1" si="3"/>
        <v>4</v>
      </c>
      <c r="D69" s="42">
        <f t="shared" si="0"/>
        <v>15000</v>
      </c>
      <c r="E69" s="40">
        <f t="shared" ca="1" si="6"/>
        <v>0</v>
      </c>
      <c r="F69" s="40">
        <f t="shared" ca="1" si="7"/>
        <v>0</v>
      </c>
      <c r="G69" s="41">
        <f t="shared" ca="1" si="4"/>
        <v>15000</v>
      </c>
    </row>
    <row r="70" spans="1:7" ht="15" thickBot="1" x14ac:dyDescent="0.3">
      <c r="A70" s="1">
        <v>35</v>
      </c>
      <c r="B70" s="3">
        <f t="shared" ca="1" si="5"/>
        <v>0.74722308143399985</v>
      </c>
      <c r="C70" s="2">
        <f t="shared" ca="1" si="3"/>
        <v>9</v>
      </c>
      <c r="D70" s="42">
        <f t="shared" si="0"/>
        <v>15000</v>
      </c>
      <c r="E70" s="40">
        <f t="shared" ca="1" si="6"/>
        <v>0</v>
      </c>
      <c r="F70" s="40">
        <f t="shared" ca="1" si="7"/>
        <v>-750</v>
      </c>
      <c r="G70" s="41">
        <f t="shared" ca="1" si="4"/>
        <v>14250</v>
      </c>
    </row>
    <row r="71" spans="1:7" ht="15" thickBot="1" x14ac:dyDescent="0.3">
      <c r="A71" s="1">
        <v>36</v>
      </c>
      <c r="B71" s="3">
        <f t="shared" ca="1" si="5"/>
        <v>8.7166663888716633E-2</v>
      </c>
      <c r="C71" s="2">
        <f t="shared" ca="1" si="3"/>
        <v>5</v>
      </c>
      <c r="D71" s="42">
        <f t="shared" si="0"/>
        <v>15000</v>
      </c>
      <c r="E71" s="40">
        <f t="shared" ca="1" si="6"/>
        <v>0</v>
      </c>
      <c r="F71" s="40">
        <f t="shared" ca="1" si="7"/>
        <v>-150</v>
      </c>
      <c r="G71" s="41">
        <f t="shared" ca="1" si="4"/>
        <v>14850</v>
      </c>
    </row>
    <row r="72" spans="1:7" ht="15" thickBot="1" x14ac:dyDescent="0.3">
      <c r="A72" s="1">
        <v>37</v>
      </c>
      <c r="B72" s="3">
        <f t="shared" ca="1" si="5"/>
        <v>0.53300411864542363</v>
      </c>
      <c r="C72" s="2">
        <f t="shared" ca="1" si="3"/>
        <v>8</v>
      </c>
      <c r="D72" s="42">
        <f t="shared" si="0"/>
        <v>15000</v>
      </c>
      <c r="E72" s="40">
        <f t="shared" ca="1" si="6"/>
        <v>0</v>
      </c>
      <c r="F72" s="40">
        <f t="shared" ca="1" si="7"/>
        <v>-600</v>
      </c>
      <c r="G72" s="41">
        <f t="shared" ca="1" si="4"/>
        <v>14400</v>
      </c>
    </row>
    <row r="73" spans="1:7" ht="15" thickBot="1" x14ac:dyDescent="0.3">
      <c r="A73" s="1">
        <v>38</v>
      </c>
      <c r="B73" s="3">
        <f t="shared" ca="1" si="5"/>
        <v>7.0291100479920154E-2</v>
      </c>
      <c r="C73" s="2">
        <f t="shared" ca="1" si="3"/>
        <v>5</v>
      </c>
      <c r="D73" s="42">
        <f t="shared" si="0"/>
        <v>15000</v>
      </c>
      <c r="E73" s="40">
        <f t="shared" ca="1" si="6"/>
        <v>0</v>
      </c>
      <c r="F73" s="40">
        <f t="shared" ca="1" si="7"/>
        <v>-150</v>
      </c>
      <c r="G73" s="41">
        <f t="shared" ca="1" si="4"/>
        <v>14850</v>
      </c>
    </row>
    <row r="74" spans="1:7" ht="15" thickBot="1" x14ac:dyDescent="0.3">
      <c r="A74" s="1">
        <v>39</v>
      </c>
      <c r="B74" s="3">
        <f t="shared" ca="1" si="5"/>
        <v>0.90988569725818014</v>
      </c>
      <c r="C74" s="2">
        <f t="shared" ca="1" si="3"/>
        <v>11</v>
      </c>
      <c r="D74" s="42">
        <f t="shared" si="0"/>
        <v>15000</v>
      </c>
      <c r="E74" s="40">
        <f t="shared" ca="1" si="6"/>
        <v>0</v>
      </c>
      <c r="F74" s="40">
        <f t="shared" ca="1" si="7"/>
        <v>-1050</v>
      </c>
      <c r="G74" s="41">
        <f t="shared" ca="1" si="4"/>
        <v>13950</v>
      </c>
    </row>
    <row r="75" spans="1:7" ht="15" thickBot="1" x14ac:dyDescent="0.3">
      <c r="A75" s="1">
        <v>40</v>
      </c>
      <c r="B75" s="3">
        <f t="shared" ca="1" si="5"/>
        <v>0.82953284848247533</v>
      </c>
      <c r="C75" s="2">
        <f t="shared" ca="1" si="3"/>
        <v>10</v>
      </c>
      <c r="D75" s="42">
        <f t="shared" si="0"/>
        <v>15000</v>
      </c>
      <c r="E75" s="40">
        <f t="shared" ca="1" si="6"/>
        <v>0</v>
      </c>
      <c r="F75" s="40">
        <f t="shared" ca="1" si="7"/>
        <v>-900</v>
      </c>
      <c r="G75" s="41">
        <f t="shared" ca="1" si="4"/>
        <v>14100</v>
      </c>
    </row>
    <row r="76" spans="1:7" ht="15" thickBot="1" x14ac:dyDescent="0.3">
      <c r="A76" s="1">
        <v>41</v>
      </c>
      <c r="B76" s="3">
        <f t="shared" ca="1" si="5"/>
        <v>0.88007601458392126</v>
      </c>
      <c r="C76" s="2">
        <f t="shared" ca="1" si="3"/>
        <v>10</v>
      </c>
      <c r="D76" s="42">
        <f t="shared" si="0"/>
        <v>15000</v>
      </c>
      <c r="E76" s="40">
        <f t="shared" ca="1" si="6"/>
        <v>0</v>
      </c>
      <c r="F76" s="40">
        <f t="shared" ca="1" si="7"/>
        <v>-900</v>
      </c>
      <c r="G76" s="41">
        <f t="shared" ca="1" si="4"/>
        <v>14100</v>
      </c>
    </row>
    <row r="77" spans="1:7" ht="15" thickBot="1" x14ac:dyDescent="0.3">
      <c r="A77" s="1">
        <v>42</v>
      </c>
      <c r="B77" s="3">
        <f t="shared" ca="1" si="5"/>
        <v>0.12780831825479289</v>
      </c>
      <c r="C77" s="2">
        <f t="shared" ca="1" si="3"/>
        <v>6</v>
      </c>
      <c r="D77" s="42">
        <f t="shared" si="0"/>
        <v>15000</v>
      </c>
      <c r="E77" s="40">
        <f t="shared" ca="1" si="6"/>
        <v>0</v>
      </c>
      <c r="F77" s="40">
        <f t="shared" ca="1" si="7"/>
        <v>-300</v>
      </c>
      <c r="G77" s="41">
        <f t="shared" ca="1" si="4"/>
        <v>14700</v>
      </c>
    </row>
    <row r="78" spans="1:7" ht="15" thickBot="1" x14ac:dyDescent="0.3">
      <c r="A78" s="1">
        <v>43</v>
      </c>
      <c r="B78" s="3">
        <f t="shared" ca="1" si="5"/>
        <v>0.27609967126175605</v>
      </c>
      <c r="C78" s="2">
        <f t="shared" ca="1" si="3"/>
        <v>7</v>
      </c>
      <c r="D78" s="42">
        <f t="shared" si="0"/>
        <v>15000</v>
      </c>
      <c r="E78" s="40">
        <f t="shared" ca="1" si="6"/>
        <v>0</v>
      </c>
      <c r="F78" s="40">
        <f t="shared" ca="1" si="7"/>
        <v>-450</v>
      </c>
      <c r="G78" s="41">
        <f t="shared" ca="1" si="4"/>
        <v>14550</v>
      </c>
    </row>
    <row r="79" spans="1:7" ht="15" thickBot="1" x14ac:dyDescent="0.3">
      <c r="A79" s="1">
        <v>44</v>
      </c>
      <c r="B79" s="3">
        <f t="shared" ca="1" si="5"/>
        <v>0.94527584237241202</v>
      </c>
      <c r="C79" s="2">
        <f t="shared" ca="1" si="3"/>
        <v>11</v>
      </c>
      <c r="D79" s="42">
        <f t="shared" si="0"/>
        <v>15000</v>
      </c>
      <c r="E79" s="40">
        <f t="shared" ca="1" si="6"/>
        <v>0</v>
      </c>
      <c r="F79" s="40">
        <f t="shared" ca="1" si="7"/>
        <v>-1050</v>
      </c>
      <c r="G79" s="41">
        <f t="shared" ca="1" si="4"/>
        <v>13950</v>
      </c>
    </row>
    <row r="80" spans="1:7" ht="15" thickBot="1" x14ac:dyDescent="0.3">
      <c r="A80" s="1">
        <v>45</v>
      </c>
      <c r="B80" s="3">
        <f t="shared" ca="1" si="5"/>
        <v>0.49421447074843627</v>
      </c>
      <c r="C80" s="2">
        <f t="shared" ca="1" si="3"/>
        <v>8</v>
      </c>
      <c r="D80" s="42">
        <f t="shared" si="0"/>
        <v>15000</v>
      </c>
      <c r="E80" s="40">
        <f t="shared" ca="1" si="6"/>
        <v>0</v>
      </c>
      <c r="F80" s="40">
        <f t="shared" ca="1" si="7"/>
        <v>-600</v>
      </c>
      <c r="G80" s="41">
        <f t="shared" ca="1" si="4"/>
        <v>14400</v>
      </c>
    </row>
    <row r="81" spans="1:7" ht="15" thickBot="1" x14ac:dyDescent="0.3">
      <c r="A81" s="1">
        <v>46</v>
      </c>
      <c r="B81" s="3">
        <f t="shared" ca="1" si="5"/>
        <v>0.82060149390266224</v>
      </c>
      <c r="C81" s="2">
        <f t="shared" ca="1" si="3"/>
        <v>10</v>
      </c>
      <c r="D81" s="42">
        <f t="shared" si="0"/>
        <v>15000</v>
      </c>
      <c r="E81" s="40">
        <f t="shared" ca="1" si="6"/>
        <v>0</v>
      </c>
      <c r="F81" s="40">
        <f t="shared" ca="1" si="7"/>
        <v>-900</v>
      </c>
      <c r="G81" s="41">
        <f t="shared" ca="1" si="4"/>
        <v>14100</v>
      </c>
    </row>
    <row r="82" spans="1:7" ht="15" thickBot="1" x14ac:dyDescent="0.3">
      <c r="A82" s="1">
        <v>47</v>
      </c>
      <c r="B82" s="3">
        <f t="shared" ca="1" si="5"/>
        <v>0.48099818927202131</v>
      </c>
      <c r="C82" s="2">
        <f t="shared" ca="1" si="3"/>
        <v>8</v>
      </c>
      <c r="D82" s="42">
        <f t="shared" si="0"/>
        <v>15000</v>
      </c>
      <c r="E82" s="40">
        <f t="shared" ca="1" si="6"/>
        <v>0</v>
      </c>
      <c r="F82" s="40">
        <f t="shared" ca="1" si="7"/>
        <v>-600</v>
      </c>
      <c r="G82" s="41">
        <f t="shared" ca="1" si="4"/>
        <v>14400</v>
      </c>
    </row>
    <row r="83" spans="1:7" ht="15" thickBot="1" x14ac:dyDescent="0.3">
      <c r="A83" s="1">
        <v>48</v>
      </c>
      <c r="B83" s="3">
        <f t="shared" ca="1" si="5"/>
        <v>0.14340830518208958</v>
      </c>
      <c r="C83" s="2">
        <f t="shared" ca="1" si="3"/>
        <v>6</v>
      </c>
      <c r="D83" s="42">
        <f t="shared" si="0"/>
        <v>15000</v>
      </c>
      <c r="E83" s="40">
        <f t="shared" ca="1" si="6"/>
        <v>0</v>
      </c>
      <c r="F83" s="40">
        <f t="shared" ca="1" si="7"/>
        <v>-300</v>
      </c>
      <c r="G83" s="41">
        <f t="shared" ca="1" si="4"/>
        <v>14700</v>
      </c>
    </row>
    <row r="84" spans="1:7" ht="15" thickBot="1" x14ac:dyDescent="0.3">
      <c r="A84" s="1">
        <v>49</v>
      </c>
      <c r="B84" s="3">
        <f t="shared" ca="1" si="5"/>
        <v>0.32503136790570175</v>
      </c>
      <c r="C84" s="2">
        <f t="shared" ca="1" si="3"/>
        <v>7</v>
      </c>
      <c r="D84" s="42">
        <f t="shared" si="0"/>
        <v>15000</v>
      </c>
      <c r="E84" s="40">
        <f t="shared" ca="1" si="6"/>
        <v>0</v>
      </c>
      <c r="F84" s="40">
        <f t="shared" ca="1" si="7"/>
        <v>-450</v>
      </c>
      <c r="G84" s="41">
        <f t="shared" ca="1" si="4"/>
        <v>14550</v>
      </c>
    </row>
    <row r="85" spans="1:7" ht="15" thickBot="1" x14ac:dyDescent="0.3">
      <c r="A85" s="1">
        <v>50</v>
      </c>
      <c r="B85" s="3">
        <f t="shared" ca="1" si="5"/>
        <v>0.67983517886903078</v>
      </c>
      <c r="C85" s="2">
        <f t="shared" ca="1" si="3"/>
        <v>9</v>
      </c>
      <c r="D85" s="42">
        <f t="shared" si="0"/>
        <v>15000</v>
      </c>
      <c r="E85" s="40">
        <f t="shared" ca="1" si="6"/>
        <v>0</v>
      </c>
      <c r="F85" s="40">
        <f t="shared" ca="1" si="7"/>
        <v>-750</v>
      </c>
      <c r="G85" s="41">
        <f t="shared" ca="1" si="4"/>
        <v>14250</v>
      </c>
    </row>
    <row r="86" spans="1:7" ht="15" thickBot="1" x14ac:dyDescent="0.3">
      <c r="A86" s="1">
        <v>51</v>
      </c>
      <c r="B86" s="3">
        <f t="shared" ca="1" si="5"/>
        <v>0.90502563272628778</v>
      </c>
      <c r="C86" s="2">
        <f t="shared" ca="1" si="3"/>
        <v>11</v>
      </c>
      <c r="D86" s="42">
        <f t="shared" si="0"/>
        <v>15000</v>
      </c>
      <c r="E86" s="40">
        <f t="shared" ca="1" si="6"/>
        <v>0</v>
      </c>
      <c r="F86" s="40">
        <f t="shared" ca="1" si="7"/>
        <v>-1050</v>
      </c>
      <c r="G86" s="41">
        <f t="shared" ref="G86:G135" ca="1" si="8">SUM(D86:F86)</f>
        <v>13950</v>
      </c>
    </row>
    <row r="87" spans="1:7" ht="15" thickBot="1" x14ac:dyDescent="0.3">
      <c r="A87" s="1">
        <v>52</v>
      </c>
      <c r="B87" s="3">
        <f t="shared" ca="1" si="5"/>
        <v>0.35343837359389918</v>
      </c>
      <c r="C87" s="2">
        <f t="shared" ca="1" si="3"/>
        <v>7</v>
      </c>
      <c r="D87" s="42">
        <f t="shared" si="0"/>
        <v>15000</v>
      </c>
      <c r="E87" s="40">
        <f t="shared" ca="1" si="6"/>
        <v>0</v>
      </c>
      <c r="F87" s="40">
        <f t="shared" ca="1" si="7"/>
        <v>-450</v>
      </c>
      <c r="G87" s="41">
        <f t="shared" ca="1" si="8"/>
        <v>14550</v>
      </c>
    </row>
    <row r="88" spans="1:7" ht="15" thickBot="1" x14ac:dyDescent="0.3">
      <c r="A88" s="1">
        <v>53</v>
      </c>
      <c r="B88" s="3">
        <f t="shared" ca="1" si="5"/>
        <v>4.0518394841451699E-2</v>
      </c>
      <c r="C88" s="2">
        <f t="shared" ca="1" si="3"/>
        <v>5</v>
      </c>
      <c r="D88" s="42">
        <f t="shared" si="0"/>
        <v>15000</v>
      </c>
      <c r="E88" s="40">
        <f t="shared" ca="1" si="6"/>
        <v>0</v>
      </c>
      <c r="F88" s="40">
        <f t="shared" ca="1" si="7"/>
        <v>-150</v>
      </c>
      <c r="G88" s="41">
        <f t="shared" ca="1" si="8"/>
        <v>14850</v>
      </c>
    </row>
    <row r="89" spans="1:7" ht="15" thickBot="1" x14ac:dyDescent="0.3">
      <c r="A89" s="1">
        <v>54</v>
      </c>
      <c r="B89" s="3">
        <f t="shared" ca="1" si="5"/>
        <v>0.10155331516731969</v>
      </c>
      <c r="C89" s="2">
        <f t="shared" ca="1" si="3"/>
        <v>5</v>
      </c>
      <c r="D89" s="42">
        <f t="shared" si="0"/>
        <v>15000</v>
      </c>
      <c r="E89" s="40">
        <f t="shared" ca="1" si="6"/>
        <v>0</v>
      </c>
      <c r="F89" s="40">
        <f t="shared" ca="1" si="7"/>
        <v>-150</v>
      </c>
      <c r="G89" s="41">
        <f t="shared" ca="1" si="8"/>
        <v>14850</v>
      </c>
    </row>
    <row r="90" spans="1:7" ht="15" thickBot="1" x14ac:dyDescent="0.3">
      <c r="A90" s="1">
        <v>55</v>
      </c>
      <c r="B90" s="3">
        <f t="shared" ca="1" si="5"/>
        <v>0.47516433118882995</v>
      </c>
      <c r="C90" s="2">
        <f t="shared" ca="1" si="3"/>
        <v>8</v>
      </c>
      <c r="D90" s="42">
        <f t="shared" si="0"/>
        <v>15000</v>
      </c>
      <c r="E90" s="40">
        <f t="shared" ca="1" si="6"/>
        <v>0</v>
      </c>
      <c r="F90" s="40">
        <f t="shared" ca="1" si="7"/>
        <v>-600</v>
      </c>
      <c r="G90" s="41">
        <f t="shared" ca="1" si="8"/>
        <v>14400</v>
      </c>
    </row>
    <row r="91" spans="1:7" ht="15" thickBot="1" x14ac:dyDescent="0.3">
      <c r="A91" s="1">
        <v>56</v>
      </c>
      <c r="B91" s="3">
        <f t="shared" ca="1" si="5"/>
        <v>0.70009242623568335</v>
      </c>
      <c r="C91" s="2">
        <f t="shared" ca="1" si="3"/>
        <v>9</v>
      </c>
      <c r="D91" s="42">
        <f t="shared" si="0"/>
        <v>15000</v>
      </c>
      <c r="E91" s="40">
        <f t="shared" ca="1" si="6"/>
        <v>0</v>
      </c>
      <c r="F91" s="40">
        <f t="shared" ca="1" si="7"/>
        <v>-750</v>
      </c>
      <c r="G91" s="41">
        <f t="shared" ca="1" si="8"/>
        <v>14250</v>
      </c>
    </row>
    <row r="92" spans="1:7" ht="15" thickBot="1" x14ac:dyDescent="0.3">
      <c r="A92" s="1">
        <v>57</v>
      </c>
      <c r="B92" s="3">
        <f t="shared" ca="1" si="5"/>
        <v>0.80123896440221842</v>
      </c>
      <c r="C92" s="2">
        <f t="shared" ca="1" si="3"/>
        <v>10</v>
      </c>
      <c r="D92" s="42">
        <f t="shared" si="0"/>
        <v>15000</v>
      </c>
      <c r="E92" s="40">
        <f t="shared" ca="1" si="6"/>
        <v>0</v>
      </c>
      <c r="F92" s="40">
        <f t="shared" ca="1" si="7"/>
        <v>-900</v>
      </c>
      <c r="G92" s="41">
        <f t="shared" ca="1" si="8"/>
        <v>14100</v>
      </c>
    </row>
    <row r="93" spans="1:7" ht="15" thickBot="1" x14ac:dyDescent="0.3">
      <c r="A93" s="1">
        <v>58</v>
      </c>
      <c r="B93" s="3">
        <f t="shared" ca="1" si="5"/>
        <v>0.56193061847568371</v>
      </c>
      <c r="C93" s="2">
        <f t="shared" ca="1" si="3"/>
        <v>8</v>
      </c>
      <c r="D93" s="42">
        <f t="shared" si="0"/>
        <v>15000</v>
      </c>
      <c r="E93" s="40">
        <f t="shared" ca="1" si="6"/>
        <v>0</v>
      </c>
      <c r="F93" s="40">
        <f t="shared" ca="1" si="7"/>
        <v>-600</v>
      </c>
      <c r="G93" s="41">
        <f t="shared" ca="1" si="8"/>
        <v>14400</v>
      </c>
    </row>
    <row r="94" spans="1:7" ht="15" thickBot="1" x14ac:dyDescent="0.3">
      <c r="A94" s="1">
        <v>59</v>
      </c>
      <c r="B94" s="3">
        <f t="shared" ca="1" si="5"/>
        <v>0.56458159528554419</v>
      </c>
      <c r="C94" s="2">
        <f t="shared" ca="1" si="3"/>
        <v>8</v>
      </c>
      <c r="D94" s="42">
        <f t="shared" si="0"/>
        <v>15000</v>
      </c>
      <c r="E94" s="40">
        <f t="shared" ca="1" si="6"/>
        <v>0</v>
      </c>
      <c r="F94" s="40">
        <f t="shared" ca="1" si="7"/>
        <v>-600</v>
      </c>
      <c r="G94" s="41">
        <f t="shared" ca="1" si="8"/>
        <v>14400</v>
      </c>
    </row>
    <row r="95" spans="1:7" ht="15" thickBot="1" x14ac:dyDescent="0.3">
      <c r="A95" s="1">
        <v>60</v>
      </c>
      <c r="B95" s="3">
        <f t="shared" ca="1" si="5"/>
        <v>0.46731493115817668</v>
      </c>
      <c r="C95" s="2">
        <f t="shared" ca="1" si="3"/>
        <v>8</v>
      </c>
      <c r="D95" s="42">
        <f t="shared" si="0"/>
        <v>15000</v>
      </c>
      <c r="E95" s="40">
        <f t="shared" ca="1" si="6"/>
        <v>0</v>
      </c>
      <c r="F95" s="40">
        <f t="shared" ca="1" si="7"/>
        <v>-600</v>
      </c>
      <c r="G95" s="41">
        <f t="shared" ca="1" si="8"/>
        <v>14400</v>
      </c>
    </row>
    <row r="96" spans="1:7" ht="15" thickBot="1" x14ac:dyDescent="0.3">
      <c r="A96" s="1">
        <v>61</v>
      </c>
      <c r="B96" s="3">
        <f t="shared" ca="1" si="5"/>
        <v>0.87828401240353637</v>
      </c>
      <c r="C96" s="2">
        <f t="shared" ca="1" si="3"/>
        <v>10</v>
      </c>
      <c r="D96" s="42">
        <f t="shared" si="0"/>
        <v>15000</v>
      </c>
      <c r="E96" s="40">
        <f t="shared" ca="1" si="6"/>
        <v>0</v>
      </c>
      <c r="F96" s="40">
        <f t="shared" ca="1" si="7"/>
        <v>-900</v>
      </c>
      <c r="G96" s="41">
        <f t="shared" ca="1" si="8"/>
        <v>14100</v>
      </c>
    </row>
    <row r="97" spans="1:7" ht="15" thickBot="1" x14ac:dyDescent="0.3">
      <c r="A97" s="1">
        <v>62</v>
      </c>
      <c r="B97" s="3">
        <f t="shared" ca="1" si="5"/>
        <v>0.71526277970026197</v>
      </c>
      <c r="C97" s="2">
        <f t="shared" ca="1" si="3"/>
        <v>9</v>
      </c>
      <c r="D97" s="42">
        <f t="shared" si="0"/>
        <v>15000</v>
      </c>
      <c r="E97" s="40">
        <f t="shared" ca="1" si="6"/>
        <v>0</v>
      </c>
      <c r="F97" s="40">
        <f t="shared" ca="1" si="7"/>
        <v>-750</v>
      </c>
      <c r="G97" s="41">
        <f t="shared" ca="1" si="8"/>
        <v>14250</v>
      </c>
    </row>
    <row r="98" spans="1:7" ht="15" thickBot="1" x14ac:dyDescent="0.3">
      <c r="A98" s="1">
        <v>63</v>
      </c>
      <c r="B98" s="3">
        <f t="shared" ca="1" si="5"/>
        <v>0.26947696215458561</v>
      </c>
      <c r="C98" s="2">
        <f t="shared" ca="1" si="3"/>
        <v>7</v>
      </c>
      <c r="D98" s="42">
        <f t="shared" si="0"/>
        <v>15000</v>
      </c>
      <c r="E98" s="40">
        <f t="shared" ca="1" si="6"/>
        <v>0</v>
      </c>
      <c r="F98" s="40">
        <f t="shared" ca="1" si="7"/>
        <v>-450</v>
      </c>
      <c r="G98" s="41">
        <f t="shared" ca="1" si="8"/>
        <v>14550</v>
      </c>
    </row>
    <row r="99" spans="1:7" ht="15" thickBot="1" x14ac:dyDescent="0.3">
      <c r="A99" s="1">
        <v>64</v>
      </c>
      <c r="B99" s="3">
        <f t="shared" ca="1" si="5"/>
        <v>0.26431609316089033</v>
      </c>
      <c r="C99" s="2">
        <f t="shared" ca="1" si="3"/>
        <v>7</v>
      </c>
      <c r="D99" s="42">
        <f t="shared" si="0"/>
        <v>15000</v>
      </c>
      <c r="E99" s="40">
        <f t="shared" ca="1" si="6"/>
        <v>0</v>
      </c>
      <c r="F99" s="40">
        <f t="shared" ca="1" si="7"/>
        <v>-450</v>
      </c>
      <c r="G99" s="41">
        <f t="shared" ca="1" si="8"/>
        <v>14550</v>
      </c>
    </row>
    <row r="100" spans="1:7" ht="15" thickBot="1" x14ac:dyDescent="0.3">
      <c r="A100" s="1">
        <v>65</v>
      </c>
      <c r="B100" s="3">
        <f t="shared" ca="1" si="5"/>
        <v>0.97825455810598361</v>
      </c>
      <c r="C100" s="2">
        <f t="shared" ca="1" si="3"/>
        <v>12</v>
      </c>
      <c r="D100" s="42">
        <f t="shared" ref="D100:D135" si="9">rate2*rooms2</f>
        <v>15000</v>
      </c>
      <c r="E100" s="40">
        <f t="shared" ref="E100:E135" ca="1" si="10">-(penalty2-rate2)*IF(qnty-C100&gt;0,qnty-C100,0)</f>
        <v>0</v>
      </c>
      <c r="F100" s="40">
        <f t="shared" ref="F100:F135" ca="1" si="11">-rate2*IF(qnty&lt;C100,C100-qnty,0)</f>
        <v>-1200</v>
      </c>
      <c r="G100" s="41">
        <f t="shared" ca="1" si="8"/>
        <v>13800</v>
      </c>
    </row>
    <row r="101" spans="1:7" ht="15" thickBot="1" x14ac:dyDescent="0.3">
      <c r="A101" s="1">
        <v>66</v>
      </c>
      <c r="B101" s="3">
        <f t="shared" ca="1" si="5"/>
        <v>0.65712635832549149</v>
      </c>
      <c r="C101" s="2">
        <f t="shared" ref="C101:C135" ca="1" si="12">ROUND(_xlfn.NORM.INV(B101,$D$20,$E$20),0)</f>
        <v>9</v>
      </c>
      <c r="D101" s="42">
        <f t="shared" si="9"/>
        <v>15000</v>
      </c>
      <c r="E101" s="40">
        <f t="shared" ca="1" si="10"/>
        <v>0</v>
      </c>
      <c r="F101" s="40">
        <f t="shared" ca="1" si="11"/>
        <v>-750</v>
      </c>
      <c r="G101" s="41">
        <f t="shared" ca="1" si="8"/>
        <v>14250</v>
      </c>
    </row>
    <row r="102" spans="1:7" ht="15" thickBot="1" x14ac:dyDescent="0.3">
      <c r="A102" s="1">
        <v>67</v>
      </c>
      <c r="B102" s="3">
        <f t="shared" ref="B102:B135" ca="1" si="13">RAND()</f>
        <v>0.88601768042674323</v>
      </c>
      <c r="C102" s="2">
        <f t="shared" ca="1" si="12"/>
        <v>10</v>
      </c>
      <c r="D102" s="42">
        <f t="shared" si="9"/>
        <v>15000</v>
      </c>
      <c r="E102" s="40">
        <f t="shared" ca="1" si="10"/>
        <v>0</v>
      </c>
      <c r="F102" s="40">
        <f t="shared" ca="1" si="11"/>
        <v>-900</v>
      </c>
      <c r="G102" s="41">
        <f t="shared" ca="1" si="8"/>
        <v>14100</v>
      </c>
    </row>
    <row r="103" spans="1:7" ht="15" thickBot="1" x14ac:dyDescent="0.3">
      <c r="A103" s="1">
        <v>68</v>
      </c>
      <c r="B103" s="3">
        <f t="shared" ca="1" si="13"/>
        <v>0.18582206998510076</v>
      </c>
      <c r="C103" s="2">
        <f t="shared" ca="1" si="12"/>
        <v>6</v>
      </c>
      <c r="D103" s="42">
        <f t="shared" si="9"/>
        <v>15000</v>
      </c>
      <c r="E103" s="40">
        <f t="shared" ca="1" si="10"/>
        <v>0</v>
      </c>
      <c r="F103" s="40">
        <f t="shared" ca="1" si="11"/>
        <v>-300</v>
      </c>
      <c r="G103" s="41">
        <f t="shared" ca="1" si="8"/>
        <v>14700</v>
      </c>
    </row>
    <row r="104" spans="1:7" ht="15" thickBot="1" x14ac:dyDescent="0.3">
      <c r="A104" s="1">
        <v>69</v>
      </c>
      <c r="B104" s="3">
        <f t="shared" ca="1" si="13"/>
        <v>5.299944451193328E-2</v>
      </c>
      <c r="C104" s="2">
        <f t="shared" ca="1" si="12"/>
        <v>5</v>
      </c>
      <c r="D104" s="42">
        <f t="shared" si="9"/>
        <v>15000</v>
      </c>
      <c r="E104" s="40">
        <f t="shared" ca="1" si="10"/>
        <v>0</v>
      </c>
      <c r="F104" s="40">
        <f t="shared" ca="1" si="11"/>
        <v>-150</v>
      </c>
      <c r="G104" s="41">
        <f t="shared" ca="1" si="8"/>
        <v>14850</v>
      </c>
    </row>
    <row r="105" spans="1:7" ht="15" thickBot="1" x14ac:dyDescent="0.3">
      <c r="A105" s="1">
        <v>70</v>
      </c>
      <c r="B105" s="3">
        <f t="shared" ca="1" si="13"/>
        <v>0.80221098917896694</v>
      </c>
      <c r="C105" s="2">
        <f t="shared" ca="1" si="12"/>
        <v>10</v>
      </c>
      <c r="D105" s="42">
        <f t="shared" si="9"/>
        <v>15000</v>
      </c>
      <c r="E105" s="40">
        <f t="shared" ca="1" si="10"/>
        <v>0</v>
      </c>
      <c r="F105" s="40">
        <f t="shared" ca="1" si="11"/>
        <v>-900</v>
      </c>
      <c r="G105" s="41">
        <f t="shared" ca="1" si="8"/>
        <v>14100</v>
      </c>
    </row>
    <row r="106" spans="1:7" ht="15" thickBot="1" x14ac:dyDescent="0.3">
      <c r="A106" s="1">
        <v>71</v>
      </c>
      <c r="B106" s="3">
        <f t="shared" ca="1" si="13"/>
        <v>0.1253070594349277</v>
      </c>
      <c r="C106" s="2">
        <f t="shared" ca="1" si="12"/>
        <v>6</v>
      </c>
      <c r="D106" s="42">
        <f t="shared" si="9"/>
        <v>15000</v>
      </c>
      <c r="E106" s="40">
        <f t="shared" ca="1" si="10"/>
        <v>0</v>
      </c>
      <c r="F106" s="40">
        <f t="shared" ca="1" si="11"/>
        <v>-300</v>
      </c>
      <c r="G106" s="41">
        <f t="shared" ca="1" si="8"/>
        <v>14700</v>
      </c>
    </row>
    <row r="107" spans="1:7" ht="15" thickBot="1" x14ac:dyDescent="0.3">
      <c r="A107" s="1">
        <v>72</v>
      </c>
      <c r="B107" s="3">
        <f t="shared" ca="1" si="13"/>
        <v>0.73561555824814273</v>
      </c>
      <c r="C107" s="2">
        <f t="shared" ca="1" si="12"/>
        <v>9</v>
      </c>
      <c r="D107" s="42">
        <f t="shared" si="9"/>
        <v>15000</v>
      </c>
      <c r="E107" s="40">
        <f t="shared" ca="1" si="10"/>
        <v>0</v>
      </c>
      <c r="F107" s="40">
        <f t="shared" ca="1" si="11"/>
        <v>-750</v>
      </c>
      <c r="G107" s="41">
        <f t="shared" ca="1" si="8"/>
        <v>14250</v>
      </c>
    </row>
    <row r="108" spans="1:7" ht="15" thickBot="1" x14ac:dyDescent="0.3">
      <c r="A108" s="1">
        <v>73</v>
      </c>
      <c r="B108" s="3">
        <f t="shared" ca="1" si="13"/>
        <v>0.83322958199862307</v>
      </c>
      <c r="C108" s="2">
        <f t="shared" ca="1" si="12"/>
        <v>10</v>
      </c>
      <c r="D108" s="42">
        <f t="shared" si="9"/>
        <v>15000</v>
      </c>
      <c r="E108" s="40">
        <f t="shared" ca="1" si="10"/>
        <v>0</v>
      </c>
      <c r="F108" s="40">
        <f t="shared" ca="1" si="11"/>
        <v>-900</v>
      </c>
      <c r="G108" s="41">
        <f t="shared" ca="1" si="8"/>
        <v>14100</v>
      </c>
    </row>
    <row r="109" spans="1:7" ht="15" thickBot="1" x14ac:dyDescent="0.3">
      <c r="A109" s="1">
        <v>74</v>
      </c>
      <c r="B109" s="3">
        <f t="shared" ca="1" si="13"/>
        <v>0.65116120206891792</v>
      </c>
      <c r="C109" s="2">
        <f t="shared" ca="1" si="12"/>
        <v>9</v>
      </c>
      <c r="D109" s="42">
        <f t="shared" si="9"/>
        <v>15000</v>
      </c>
      <c r="E109" s="40">
        <f t="shared" ca="1" si="10"/>
        <v>0</v>
      </c>
      <c r="F109" s="40">
        <f t="shared" ca="1" si="11"/>
        <v>-750</v>
      </c>
      <c r="G109" s="41">
        <f t="shared" ca="1" si="8"/>
        <v>14250</v>
      </c>
    </row>
    <row r="110" spans="1:7" ht="15" thickBot="1" x14ac:dyDescent="0.3">
      <c r="A110" s="1">
        <v>75</v>
      </c>
      <c r="B110" s="3">
        <f t="shared" ca="1" si="13"/>
        <v>0.57698374909752492</v>
      </c>
      <c r="C110" s="2">
        <f t="shared" ca="1" si="12"/>
        <v>8</v>
      </c>
      <c r="D110" s="42">
        <f t="shared" si="9"/>
        <v>15000</v>
      </c>
      <c r="E110" s="40">
        <f t="shared" ca="1" si="10"/>
        <v>0</v>
      </c>
      <c r="F110" s="40">
        <f t="shared" ca="1" si="11"/>
        <v>-600</v>
      </c>
      <c r="G110" s="41">
        <f t="shared" ca="1" si="8"/>
        <v>14400</v>
      </c>
    </row>
    <row r="111" spans="1:7" ht="15" thickBot="1" x14ac:dyDescent="0.3">
      <c r="A111" s="1">
        <v>76</v>
      </c>
      <c r="B111" s="3">
        <f t="shared" ca="1" si="13"/>
        <v>7.5764510362549276E-2</v>
      </c>
      <c r="C111" s="2">
        <f t="shared" ca="1" si="12"/>
        <v>5</v>
      </c>
      <c r="D111" s="42">
        <f t="shared" si="9"/>
        <v>15000</v>
      </c>
      <c r="E111" s="40">
        <f t="shared" ca="1" si="10"/>
        <v>0</v>
      </c>
      <c r="F111" s="40">
        <f t="shared" ca="1" si="11"/>
        <v>-150</v>
      </c>
      <c r="G111" s="41">
        <f t="shared" ca="1" si="8"/>
        <v>14850</v>
      </c>
    </row>
    <row r="112" spans="1:7" ht="15" thickBot="1" x14ac:dyDescent="0.3">
      <c r="A112" s="1">
        <v>77</v>
      </c>
      <c r="B112" s="3">
        <f t="shared" ca="1" si="13"/>
        <v>0.52263493368931624</v>
      </c>
      <c r="C112" s="2">
        <f t="shared" ca="1" si="12"/>
        <v>8</v>
      </c>
      <c r="D112" s="42">
        <f t="shared" si="9"/>
        <v>15000</v>
      </c>
      <c r="E112" s="40">
        <f t="shared" ca="1" si="10"/>
        <v>0</v>
      </c>
      <c r="F112" s="40">
        <f t="shared" ca="1" si="11"/>
        <v>-600</v>
      </c>
      <c r="G112" s="41">
        <f t="shared" ca="1" si="8"/>
        <v>14400</v>
      </c>
    </row>
    <row r="113" spans="1:7" ht="15" thickBot="1" x14ac:dyDescent="0.3">
      <c r="A113" s="1">
        <v>78</v>
      </c>
      <c r="B113" s="3">
        <f t="shared" ca="1" si="13"/>
        <v>0.73183638601772483</v>
      </c>
      <c r="C113" s="2">
        <f t="shared" ca="1" si="12"/>
        <v>9</v>
      </c>
      <c r="D113" s="42">
        <f t="shared" si="9"/>
        <v>15000</v>
      </c>
      <c r="E113" s="40">
        <f t="shared" ca="1" si="10"/>
        <v>0</v>
      </c>
      <c r="F113" s="40">
        <f t="shared" ca="1" si="11"/>
        <v>-750</v>
      </c>
      <c r="G113" s="41">
        <f t="shared" ca="1" si="8"/>
        <v>14250</v>
      </c>
    </row>
    <row r="114" spans="1:7" ht="15" thickBot="1" x14ac:dyDescent="0.3">
      <c r="A114" s="1">
        <v>79</v>
      </c>
      <c r="B114" s="3">
        <f t="shared" ca="1" si="13"/>
        <v>0.37929165812113297</v>
      </c>
      <c r="C114" s="2">
        <f t="shared" ca="1" si="12"/>
        <v>7</v>
      </c>
      <c r="D114" s="42">
        <f t="shared" si="9"/>
        <v>15000</v>
      </c>
      <c r="E114" s="40">
        <f t="shared" ca="1" si="10"/>
        <v>0</v>
      </c>
      <c r="F114" s="40">
        <f t="shared" ca="1" si="11"/>
        <v>-450</v>
      </c>
      <c r="G114" s="41">
        <f t="shared" ca="1" si="8"/>
        <v>14550</v>
      </c>
    </row>
    <row r="115" spans="1:7" ht="15" thickBot="1" x14ac:dyDescent="0.3">
      <c r="A115" s="1">
        <v>80</v>
      </c>
      <c r="B115" s="3">
        <f t="shared" ca="1" si="13"/>
        <v>0.70397628026910308</v>
      </c>
      <c r="C115" s="2">
        <f t="shared" ca="1" si="12"/>
        <v>9</v>
      </c>
      <c r="D115" s="42">
        <f t="shared" si="9"/>
        <v>15000</v>
      </c>
      <c r="E115" s="40">
        <f t="shared" ca="1" si="10"/>
        <v>0</v>
      </c>
      <c r="F115" s="40">
        <f t="shared" ca="1" si="11"/>
        <v>-750</v>
      </c>
      <c r="G115" s="41">
        <f t="shared" ca="1" si="8"/>
        <v>14250</v>
      </c>
    </row>
    <row r="116" spans="1:7" ht="15" thickBot="1" x14ac:dyDescent="0.3">
      <c r="A116" s="1">
        <v>81</v>
      </c>
      <c r="B116" s="3">
        <f t="shared" ca="1" si="13"/>
        <v>0.87211103449731275</v>
      </c>
      <c r="C116" s="2">
        <f t="shared" ca="1" si="12"/>
        <v>10</v>
      </c>
      <c r="D116" s="42">
        <f t="shared" si="9"/>
        <v>15000</v>
      </c>
      <c r="E116" s="40">
        <f t="shared" ca="1" si="10"/>
        <v>0</v>
      </c>
      <c r="F116" s="40">
        <f t="shared" ca="1" si="11"/>
        <v>-900</v>
      </c>
      <c r="G116" s="41">
        <f t="shared" ca="1" si="8"/>
        <v>14100</v>
      </c>
    </row>
    <row r="117" spans="1:7" ht="15" thickBot="1" x14ac:dyDescent="0.3">
      <c r="A117" s="1">
        <v>82</v>
      </c>
      <c r="B117" s="3">
        <f t="shared" ca="1" si="13"/>
        <v>0.43365708786344148</v>
      </c>
      <c r="C117" s="2">
        <f t="shared" ca="1" si="12"/>
        <v>8</v>
      </c>
      <c r="D117" s="42">
        <f t="shared" si="9"/>
        <v>15000</v>
      </c>
      <c r="E117" s="40">
        <f t="shared" ca="1" si="10"/>
        <v>0</v>
      </c>
      <c r="F117" s="40">
        <f t="shared" ca="1" si="11"/>
        <v>-600</v>
      </c>
      <c r="G117" s="41">
        <f t="shared" ca="1" si="8"/>
        <v>14400</v>
      </c>
    </row>
    <row r="118" spans="1:7" ht="15" thickBot="1" x14ac:dyDescent="0.3">
      <c r="A118" s="1">
        <v>83</v>
      </c>
      <c r="B118" s="3">
        <f t="shared" ca="1" si="13"/>
        <v>0.48842089418751333</v>
      </c>
      <c r="C118" s="2">
        <f t="shared" ca="1" si="12"/>
        <v>8</v>
      </c>
      <c r="D118" s="42">
        <f t="shared" si="9"/>
        <v>15000</v>
      </c>
      <c r="E118" s="40">
        <f t="shared" ca="1" si="10"/>
        <v>0</v>
      </c>
      <c r="F118" s="40">
        <f t="shared" ca="1" si="11"/>
        <v>-600</v>
      </c>
      <c r="G118" s="41">
        <f t="shared" ca="1" si="8"/>
        <v>14400</v>
      </c>
    </row>
    <row r="119" spans="1:7" ht="15" thickBot="1" x14ac:dyDescent="0.3">
      <c r="A119" s="1">
        <v>84</v>
      </c>
      <c r="B119" s="3">
        <f t="shared" ca="1" si="13"/>
        <v>0.65506213537968561</v>
      </c>
      <c r="C119" s="2">
        <f t="shared" ca="1" si="12"/>
        <v>9</v>
      </c>
      <c r="D119" s="42">
        <f t="shared" si="9"/>
        <v>15000</v>
      </c>
      <c r="E119" s="40">
        <f t="shared" ca="1" si="10"/>
        <v>0</v>
      </c>
      <c r="F119" s="40">
        <f t="shared" ca="1" si="11"/>
        <v>-750</v>
      </c>
      <c r="G119" s="41">
        <f t="shared" ca="1" si="8"/>
        <v>14250</v>
      </c>
    </row>
    <row r="120" spans="1:7" ht="15" thickBot="1" x14ac:dyDescent="0.3">
      <c r="A120" s="1">
        <v>85</v>
      </c>
      <c r="B120" s="3">
        <f t="shared" ca="1" si="13"/>
        <v>0.65523760763956518</v>
      </c>
      <c r="C120" s="2">
        <f t="shared" ca="1" si="12"/>
        <v>9</v>
      </c>
      <c r="D120" s="42">
        <f t="shared" si="9"/>
        <v>15000</v>
      </c>
      <c r="E120" s="40">
        <f t="shared" ca="1" si="10"/>
        <v>0</v>
      </c>
      <c r="F120" s="40">
        <f t="shared" ca="1" si="11"/>
        <v>-750</v>
      </c>
      <c r="G120" s="41">
        <f t="shared" ca="1" si="8"/>
        <v>14250</v>
      </c>
    </row>
    <row r="121" spans="1:7" ht="15" thickBot="1" x14ac:dyDescent="0.3">
      <c r="A121" s="1">
        <v>86</v>
      </c>
      <c r="B121" s="3">
        <f t="shared" ca="1" si="13"/>
        <v>0.20028726858374346</v>
      </c>
      <c r="C121" s="2">
        <f t="shared" ca="1" si="12"/>
        <v>6</v>
      </c>
      <c r="D121" s="42">
        <f t="shared" si="9"/>
        <v>15000</v>
      </c>
      <c r="E121" s="40">
        <f t="shared" ca="1" si="10"/>
        <v>0</v>
      </c>
      <c r="F121" s="40">
        <f t="shared" ca="1" si="11"/>
        <v>-300</v>
      </c>
      <c r="G121" s="41">
        <f t="shared" ca="1" si="8"/>
        <v>14700</v>
      </c>
    </row>
    <row r="122" spans="1:7" ht="15" thickBot="1" x14ac:dyDescent="0.3">
      <c r="A122" s="1">
        <v>87</v>
      </c>
      <c r="B122" s="3">
        <f t="shared" ca="1" si="13"/>
        <v>0.55756082816230412</v>
      </c>
      <c r="C122" s="2">
        <f t="shared" ca="1" si="12"/>
        <v>8</v>
      </c>
      <c r="D122" s="42">
        <f t="shared" si="9"/>
        <v>15000</v>
      </c>
      <c r="E122" s="40">
        <f t="shared" ca="1" si="10"/>
        <v>0</v>
      </c>
      <c r="F122" s="40">
        <f t="shared" ca="1" si="11"/>
        <v>-600</v>
      </c>
      <c r="G122" s="41">
        <f t="shared" ca="1" si="8"/>
        <v>14400</v>
      </c>
    </row>
    <row r="123" spans="1:7" ht="15" thickBot="1" x14ac:dyDescent="0.3">
      <c r="A123" s="1">
        <v>88</v>
      </c>
      <c r="B123" s="3">
        <f t="shared" ca="1" si="13"/>
        <v>0.81272848228210548</v>
      </c>
      <c r="C123" s="2">
        <f t="shared" ca="1" si="12"/>
        <v>10</v>
      </c>
      <c r="D123" s="42">
        <f t="shared" si="9"/>
        <v>15000</v>
      </c>
      <c r="E123" s="40">
        <f t="shared" ca="1" si="10"/>
        <v>0</v>
      </c>
      <c r="F123" s="40">
        <f t="shared" ca="1" si="11"/>
        <v>-900</v>
      </c>
      <c r="G123" s="41">
        <f t="shared" ca="1" si="8"/>
        <v>14100</v>
      </c>
    </row>
    <row r="124" spans="1:7" ht="15" thickBot="1" x14ac:dyDescent="0.3">
      <c r="A124" s="1">
        <v>89</v>
      </c>
      <c r="B124" s="3">
        <f t="shared" ca="1" si="13"/>
        <v>0.35447768288219994</v>
      </c>
      <c r="C124" s="2">
        <f t="shared" ca="1" si="12"/>
        <v>7</v>
      </c>
      <c r="D124" s="42">
        <f t="shared" si="9"/>
        <v>15000</v>
      </c>
      <c r="E124" s="40">
        <f t="shared" ca="1" si="10"/>
        <v>0</v>
      </c>
      <c r="F124" s="40">
        <f t="shared" ca="1" si="11"/>
        <v>-450</v>
      </c>
      <c r="G124" s="41">
        <f t="shared" ca="1" si="8"/>
        <v>14550</v>
      </c>
    </row>
    <row r="125" spans="1:7" ht="15" thickBot="1" x14ac:dyDescent="0.3">
      <c r="A125" s="1">
        <v>90</v>
      </c>
      <c r="B125" s="3">
        <f t="shared" ca="1" si="13"/>
        <v>0.18788152945973025</v>
      </c>
      <c r="C125" s="2">
        <f t="shared" ca="1" si="12"/>
        <v>6</v>
      </c>
      <c r="D125" s="42">
        <f t="shared" si="9"/>
        <v>15000</v>
      </c>
      <c r="E125" s="40">
        <f t="shared" ca="1" si="10"/>
        <v>0</v>
      </c>
      <c r="F125" s="40">
        <f t="shared" ca="1" si="11"/>
        <v>-300</v>
      </c>
      <c r="G125" s="41">
        <f t="shared" ca="1" si="8"/>
        <v>14700</v>
      </c>
    </row>
    <row r="126" spans="1:7" ht="15" thickBot="1" x14ac:dyDescent="0.3">
      <c r="A126" s="1">
        <v>91</v>
      </c>
      <c r="B126" s="3">
        <f t="shared" ca="1" si="13"/>
        <v>0.28541711883060927</v>
      </c>
      <c r="C126" s="2">
        <f t="shared" ca="1" si="12"/>
        <v>7</v>
      </c>
      <c r="D126" s="42">
        <f t="shared" si="9"/>
        <v>15000</v>
      </c>
      <c r="E126" s="40">
        <f t="shared" ca="1" si="10"/>
        <v>0</v>
      </c>
      <c r="F126" s="40">
        <f t="shared" ca="1" si="11"/>
        <v>-450</v>
      </c>
      <c r="G126" s="41">
        <f t="shared" ca="1" si="8"/>
        <v>14550</v>
      </c>
    </row>
    <row r="127" spans="1:7" ht="15" thickBot="1" x14ac:dyDescent="0.3">
      <c r="A127" s="1">
        <v>92</v>
      </c>
      <c r="B127" s="3">
        <f t="shared" ca="1" si="13"/>
        <v>0.17237190017672344</v>
      </c>
      <c r="C127" s="2">
        <f t="shared" ca="1" si="12"/>
        <v>6</v>
      </c>
      <c r="D127" s="42">
        <f t="shared" si="9"/>
        <v>15000</v>
      </c>
      <c r="E127" s="40">
        <f t="shared" ca="1" si="10"/>
        <v>0</v>
      </c>
      <c r="F127" s="40">
        <f t="shared" ca="1" si="11"/>
        <v>-300</v>
      </c>
      <c r="G127" s="41">
        <f t="shared" ca="1" si="8"/>
        <v>14700</v>
      </c>
    </row>
    <row r="128" spans="1:7" ht="15" thickBot="1" x14ac:dyDescent="0.3">
      <c r="A128" s="1">
        <v>93</v>
      </c>
      <c r="B128" s="3">
        <f t="shared" ca="1" si="13"/>
        <v>0.73833386785346178</v>
      </c>
      <c r="C128" s="2">
        <f t="shared" ca="1" si="12"/>
        <v>9</v>
      </c>
      <c r="D128" s="42">
        <f t="shared" si="9"/>
        <v>15000</v>
      </c>
      <c r="E128" s="40">
        <f t="shared" ca="1" si="10"/>
        <v>0</v>
      </c>
      <c r="F128" s="40">
        <f t="shared" ca="1" si="11"/>
        <v>-750</v>
      </c>
      <c r="G128" s="41">
        <f t="shared" ca="1" si="8"/>
        <v>14250</v>
      </c>
    </row>
    <row r="129" spans="1:7" ht="15" thickBot="1" x14ac:dyDescent="0.3">
      <c r="A129" s="1">
        <v>94</v>
      </c>
      <c r="B129" s="3">
        <f t="shared" ca="1" si="13"/>
        <v>0.63292502228452618</v>
      </c>
      <c r="C129" s="2">
        <f t="shared" ca="1" si="12"/>
        <v>9</v>
      </c>
      <c r="D129" s="42">
        <f t="shared" si="9"/>
        <v>15000</v>
      </c>
      <c r="E129" s="40">
        <f t="shared" ca="1" si="10"/>
        <v>0</v>
      </c>
      <c r="F129" s="40">
        <f t="shared" ca="1" si="11"/>
        <v>-750</v>
      </c>
      <c r="G129" s="41">
        <f t="shared" ca="1" si="8"/>
        <v>14250</v>
      </c>
    </row>
    <row r="130" spans="1:7" ht="15" thickBot="1" x14ac:dyDescent="0.3">
      <c r="A130" s="1">
        <v>95</v>
      </c>
      <c r="B130" s="3">
        <f t="shared" ca="1" si="13"/>
        <v>0.3571438509073479</v>
      </c>
      <c r="C130" s="2">
        <f t="shared" ca="1" si="12"/>
        <v>7</v>
      </c>
      <c r="D130" s="42">
        <f t="shared" si="9"/>
        <v>15000</v>
      </c>
      <c r="E130" s="40">
        <f t="shared" ca="1" si="10"/>
        <v>0</v>
      </c>
      <c r="F130" s="40">
        <f t="shared" ca="1" si="11"/>
        <v>-450</v>
      </c>
      <c r="G130" s="41">
        <f t="shared" ca="1" si="8"/>
        <v>14550</v>
      </c>
    </row>
    <row r="131" spans="1:7" ht="15" thickBot="1" x14ac:dyDescent="0.3">
      <c r="A131" s="1">
        <v>96</v>
      </c>
      <c r="B131" s="3">
        <f t="shared" ca="1" si="13"/>
        <v>0.34134504704919455</v>
      </c>
      <c r="C131" s="2">
        <f t="shared" ca="1" si="12"/>
        <v>7</v>
      </c>
      <c r="D131" s="42">
        <f t="shared" si="9"/>
        <v>15000</v>
      </c>
      <c r="E131" s="40">
        <f t="shared" ca="1" si="10"/>
        <v>0</v>
      </c>
      <c r="F131" s="40">
        <f t="shared" ca="1" si="11"/>
        <v>-450</v>
      </c>
      <c r="G131" s="41">
        <f t="shared" ca="1" si="8"/>
        <v>14550</v>
      </c>
    </row>
    <row r="132" spans="1:7" ht="15" thickBot="1" x14ac:dyDescent="0.3">
      <c r="A132" s="1">
        <v>97</v>
      </c>
      <c r="B132" s="3">
        <f t="shared" ca="1" si="13"/>
        <v>0.77342839934740615</v>
      </c>
      <c r="C132" s="2">
        <f t="shared" ca="1" si="12"/>
        <v>10</v>
      </c>
      <c r="D132" s="42">
        <f t="shared" si="9"/>
        <v>15000</v>
      </c>
      <c r="E132" s="40">
        <f t="shared" ca="1" si="10"/>
        <v>0</v>
      </c>
      <c r="F132" s="40">
        <f t="shared" ca="1" si="11"/>
        <v>-900</v>
      </c>
      <c r="G132" s="41">
        <f t="shared" ca="1" si="8"/>
        <v>14100</v>
      </c>
    </row>
    <row r="133" spans="1:7" ht="15" thickBot="1" x14ac:dyDescent="0.3">
      <c r="A133" s="1">
        <v>98</v>
      </c>
      <c r="B133" s="3">
        <f t="shared" ca="1" si="13"/>
        <v>0.63784943427622121</v>
      </c>
      <c r="C133" s="2">
        <f t="shared" ca="1" si="12"/>
        <v>9</v>
      </c>
      <c r="D133" s="42">
        <f t="shared" si="9"/>
        <v>15000</v>
      </c>
      <c r="E133" s="40">
        <f t="shared" ca="1" si="10"/>
        <v>0</v>
      </c>
      <c r="F133" s="40">
        <f t="shared" ca="1" si="11"/>
        <v>-750</v>
      </c>
      <c r="G133" s="41">
        <f t="shared" ca="1" si="8"/>
        <v>14250</v>
      </c>
    </row>
    <row r="134" spans="1:7" ht="15" thickBot="1" x14ac:dyDescent="0.3">
      <c r="A134" s="1">
        <v>99</v>
      </c>
      <c r="B134" s="3">
        <f t="shared" ca="1" si="13"/>
        <v>0.54555615414789627</v>
      </c>
      <c r="C134" s="2">
        <f t="shared" ca="1" si="12"/>
        <v>8</v>
      </c>
      <c r="D134" s="42">
        <f t="shared" si="9"/>
        <v>15000</v>
      </c>
      <c r="E134" s="40">
        <f t="shared" ca="1" si="10"/>
        <v>0</v>
      </c>
      <c r="F134" s="40">
        <f t="shared" ca="1" si="11"/>
        <v>-600</v>
      </c>
      <c r="G134" s="41">
        <f t="shared" ca="1" si="8"/>
        <v>14400</v>
      </c>
    </row>
    <row r="135" spans="1:7" x14ac:dyDescent="0.25">
      <c r="A135" s="1">
        <v>100</v>
      </c>
      <c r="B135" s="3">
        <f t="shared" ca="1" si="13"/>
        <v>0.69799530509110974</v>
      </c>
      <c r="C135" s="2">
        <f t="shared" ca="1" si="12"/>
        <v>9</v>
      </c>
      <c r="D135" s="42">
        <f t="shared" si="9"/>
        <v>15000</v>
      </c>
      <c r="E135" s="40">
        <f t="shared" ca="1" si="10"/>
        <v>0</v>
      </c>
      <c r="F135" s="40">
        <f t="shared" ca="1" si="11"/>
        <v>-750</v>
      </c>
      <c r="G135" s="41">
        <f t="shared" ca="1" si="8"/>
        <v>14250</v>
      </c>
    </row>
  </sheetData>
  <mergeCells count="6">
    <mergeCell ref="E33:G33"/>
    <mergeCell ref="A1:O7"/>
    <mergeCell ref="A11:G11"/>
    <mergeCell ref="J17:K18"/>
    <mergeCell ref="A26:C26"/>
    <mergeCell ref="D27:F27"/>
  </mergeCells>
  <conditionalFormatting sqref="K21:K29">
    <cfRule type="top10" dxfId="0" priority="1" rank="1"/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simulate normal</vt:lpstr>
      <vt:lpstr>simulate normal long</vt:lpstr>
      <vt:lpstr>simulate profit</vt:lpstr>
      <vt:lpstr>integrated example</vt:lpstr>
      <vt:lpstr>BarChart</vt:lpstr>
      <vt:lpstr>'integrated example'!Lookup</vt:lpstr>
      <vt:lpstr>'integrated example'!penalty2</vt:lpstr>
      <vt:lpstr>profits</vt:lpstr>
      <vt:lpstr>'integrated example'!qnty</vt:lpstr>
      <vt:lpstr>'integrated example'!rate2</vt:lpstr>
      <vt:lpstr>'integrated example'!rooms2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Exhibits for @Risk chapter</dc:title>
  <dc:creator>Chris Albright</dc:creator>
  <cp:lastModifiedBy>Shang, Guangzhi</cp:lastModifiedBy>
  <dcterms:created xsi:type="dcterms:W3CDTF">1997-08-23T20:09:02Z</dcterms:created>
  <dcterms:modified xsi:type="dcterms:W3CDTF">2016-10-16T23:02:02Z</dcterms:modified>
</cp:coreProperties>
</file>